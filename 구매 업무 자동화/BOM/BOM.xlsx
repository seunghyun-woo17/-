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eunghyunwoo\Desktop\github\SCMAUTO\구매 업무 자동화\BOM\"/>
    </mc:Choice>
  </mc:AlternateContent>
  <xr:revisionPtr revIDLastSave="0" documentId="13_ncr:1_{DD51FDAE-4C36-48F8-A040-2D188C4BA487}" xr6:coauthVersionLast="47" xr6:coauthVersionMax="47" xr10:uidLastSave="{00000000-0000-0000-0000-000000000000}"/>
  <bookViews>
    <workbookView xWindow="4695" yWindow="-16200" windowWidth="14610" windowHeight="15585" xr2:uid="{652A96A7-B3A7-4977-8216-1E6948D08560}"/>
  </bookViews>
  <sheets>
    <sheet name="파싱용" sheetId="3" r:id="rId1"/>
    <sheet name="BOM_(신조) HiNAS Nav" sheetId="4" state="hidden" r:id="rId2"/>
    <sheet name="BOM_(신조) HiNAS Nav DOM" sheetId="5" state="hidden" r:id="rId3"/>
    <sheet name="BOM_(신조) HiNAS Control" sheetId="6" state="hidden" r:id="rId4"/>
    <sheet name="BOM_(신조) HiNAS Con V2" sheetId="7" state="hidden" r:id="rId5"/>
    <sheet name="BOM_(신조) HiNAS SVM" sheetId="8" state="hidden" r:id="rId6"/>
    <sheet name="BOM_(개조) HiNAS Con SVM" sheetId="9" state="hidden" r:id="rId7"/>
    <sheet name="BOM_(개조) HiNAS Control" sheetId="10" state="hidden" r:id="rId8"/>
    <sheet name="자재리스트" sheetId="11" state="hidden" r:id="rId9"/>
    <sheet name="완제품리스트" sheetId="12" state="hidden" r:id="rId10"/>
    <sheet name="Sheet2" sheetId="2" r:id="rId11"/>
  </sheets>
  <externalReferences>
    <externalReference r:id="rId12"/>
    <externalReference r:id="rId13"/>
    <externalReference r:id="rId14"/>
    <externalReference r:id="rId15"/>
    <externalReference r:id="rId16"/>
    <externalReference r:id="rId17"/>
    <externalReference r:id="rId18"/>
  </externalReferences>
  <definedNames>
    <definedName name="__1_____S" hidden="1">#REF!</definedName>
    <definedName name="__2___0_S" hidden="1">#REF!</definedName>
    <definedName name="__3__0_S" hidden="1">#REF!</definedName>
    <definedName name="__IntlFixup" hidden="1">TRUE</definedName>
    <definedName name="__KDX3">[0]!__KDX3</definedName>
    <definedName name="__TTT1">#REF!</definedName>
    <definedName name="_1_____S" hidden="1">#REF!</definedName>
    <definedName name="_2___0_S" hidden="1">#REF!</definedName>
    <definedName name="_3__0_S" hidden="1">#REF!</definedName>
    <definedName name="_A3">{#N/A,#N/A,FALSE,"단축1";#N/A,#N/A,FALSE,"단축2";#N/A,#N/A,FALSE,"단축3";#N/A,#N/A,FALSE,"장축";#N/A,#N/A,FALSE,"4WD"}</definedName>
    <definedName name="_DB777" hidden="1">{#N/A,#N/A,TRUE,"Y생산";#N/A,#N/A,TRUE,"Y판매";#N/A,#N/A,TRUE,"Y총물량";#N/A,#N/A,TRUE,"Y능력";#N/A,#N/A,TRUE,"YKD"}</definedName>
    <definedName name="_Dist_Bin" hidden="1">#REF!</definedName>
    <definedName name="_Dist_Values" hidden="1">#REF!</definedName>
    <definedName name="_Fill" hidden="1">#REF!</definedName>
    <definedName name="_KDX3">[0]!_KDX3</definedName>
    <definedName name="_Key1" hidden="1">#REF!</definedName>
    <definedName name="_Key2" hidden="1">#REF!</definedName>
    <definedName name="_LPS2" hidden="1">{#N/A,#N/A,FALSE,"단축1";#N/A,#N/A,FALSE,"단축2";#N/A,#N/A,FALSE,"단축3";#N/A,#N/A,FALSE,"장축";#N/A,#N/A,FALSE,"4WD"}</definedName>
    <definedName name="_Order1" hidden="1">255</definedName>
    <definedName name="_Order2" hidden="1">255</definedName>
    <definedName name="_P2" hidden="1">{#N/A,#N/A,FALSE,"단축1";#N/A,#N/A,FALSE,"단축2";#N/A,#N/A,FALSE,"단축3";#N/A,#N/A,FALSE,"장축";#N/A,#N/A,FALSE,"4WD"}</definedName>
    <definedName name="_Parse_Out" hidden="1">#REF!</definedName>
    <definedName name="_PB004" hidden="1">{#N/A,#N/A,FALSE,"단축1";#N/A,#N/A,FALSE,"단축2";#N/A,#N/A,FALSE,"단축3";#N/A,#N/A,FALSE,"장축";#N/A,#N/A,FALSE,"4WD"}</definedName>
    <definedName name="_Regression_Int">1</definedName>
    <definedName name="_SDW1" hidden="1">#REF!</definedName>
    <definedName name="_Sort" hidden="1">#REF!</definedName>
    <definedName name="_sort2" hidden="1">#REF!</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CG04">[0]!_TCG04</definedName>
    <definedName name="_TTT1">#REF!</definedName>
    <definedName name="\\" hidden="1">{#N/A,#N/A,FALSE,"단축1";#N/A,#N/A,FALSE,"단축2";#N/A,#N/A,FALSE,"단축3";#N/A,#N/A,FALSE,"장축";#N/A,#N/A,FALSE,"4WD"}</definedName>
    <definedName name="\a">#N/A</definedName>
    <definedName name="\b">#N/A</definedName>
    <definedName name="\z">#N/A</definedName>
    <definedName name="√">"SQRT"</definedName>
    <definedName name="a">'[1]5-1차수정'!#REF!</definedName>
    <definedName name="A1_00근거" hidden="1">{#N/A,#N/A,FALSE,"단축1";#N/A,#N/A,FALSE,"단축2";#N/A,#N/A,FALSE,"단축3";#N/A,#N/A,FALSE,"장축";#N/A,#N/A,FALSE,"4WD"}</definedName>
    <definedName name="AA" hidden="1">#REF!</definedName>
    <definedName name="AAA">#REF!</definedName>
    <definedName name="AAAA">[0]!AAAA</definedName>
    <definedName name="AAAAA">[0]!AAAAA</definedName>
    <definedName name="AAAAAA">[0]!AAAAAA</definedName>
    <definedName name="AAAAAAA" hidden="1">{#N/A,#N/A,TRUE,"Y생산";#N/A,#N/A,TRUE,"Y판매";#N/A,#N/A,TRUE,"Y총물량";#N/A,#N/A,TRUE,"Y능력";#N/A,#N/A,TRUE,"YKD"}</definedName>
    <definedName name="AAAAAAAA" hidden="1">{#N/A,#N/A,FALSE,"단축1";#N/A,#N/A,FALSE,"단축2";#N/A,#N/A,FALSE,"단축3";#N/A,#N/A,FALSE,"장축";#N/A,#N/A,FALSE,"4WD"}</definedName>
    <definedName name="AAAAAAAAA">[0]!AAAAAAAAA</definedName>
    <definedName name="AABB" hidden="1">{#N/A,#N/A,FALSE,"단축1";#N/A,#N/A,FALSE,"단축2";#N/A,#N/A,FALSE,"단축3";#N/A,#N/A,FALSE,"장축";#N/A,#N/A,FALSE,"4WD"}</definedName>
    <definedName name="AAS" hidden="1">{#N/A,#N/A,FALSE,"단축1";#N/A,#N/A,FALSE,"단축2";#N/A,#N/A,FALSE,"단축3";#N/A,#N/A,FALSE,"장축";#N/A,#N/A,FALSE,"4WD"}</definedName>
    <definedName name="AB" hidden="1">{#N/A,#N/A,FALSE,"단축1";#N/A,#N/A,FALSE,"단축2";#N/A,#N/A,FALSE,"단축3";#N/A,#N/A,FALSE,"장축";#N/A,#N/A,FALSE,"4WD"}</definedName>
    <definedName name="ABD"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SDF" hidden="1">{#N/A,#N/A,TRUE,"Y생산";#N/A,#N/A,TRUE,"Y판매";#N/A,#N/A,TRUE,"Y총물량";#N/A,#N/A,TRUE,"Y능력";#N/A,#N/A,TRUE,"YKD"}</definedName>
    <definedName name="AF" hidden="1">{#N/A,#N/A,FALSE,"단축1";#N/A,#N/A,FALSE,"단축2";#N/A,#N/A,FALSE,"단축3";#N/A,#N/A,FALSE,"장축";#N/A,#N/A,FALSE,"4WD"}</definedName>
    <definedName name="AFDAFA"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J" hidden="1">{#N/A,#N/A,FALSE,"단축1";#N/A,#N/A,FALSE,"단축2";#N/A,#N/A,FALSE,"단축3";#N/A,#N/A,FALSE,"장축";#N/A,#N/A,FALSE,"4WD"}</definedName>
    <definedName name="AL" hidden="1">{#N/A,#N/A,FALSE,"단축1";#N/A,#N/A,FALSE,"단축2";#N/A,#N/A,FALSE,"단축3";#N/A,#N/A,FALSE,"장축";#N/A,#N/A,FALSE,"4WD"}</definedName>
    <definedName name="AN" hidden="1">{#N/A,#N/A,FALSE,"단축1";#N/A,#N/A,FALSE,"단축2";#N/A,#N/A,FALSE,"단축3";#N/A,#N/A,FALSE,"장축";#N/A,#N/A,FALSE,"4WD"}</definedName>
    <definedName name="anscount" hidden="1">4</definedName>
    <definedName name="AQP" hidden="1">{#N/A,#N/A,FALSE,"96 3월물량표";#N/A,#N/A,FALSE,"96 4월물량표";#N/A,#N/A,FALSE,"96 5월물량표"}</definedName>
    <definedName name="AS">[0]!AS</definedName>
    <definedName name="asasasws" hidden="1">{#N/A,#N/A,FALSE,"단축1";#N/A,#N/A,FALSE,"단축2";#N/A,#N/A,FALSE,"단축3";#N/A,#N/A,FALSE,"장축";#N/A,#N/A,FALSE,"4WD"}</definedName>
    <definedName name="ASDF">[0]!ASDF</definedName>
    <definedName name="ASDS">[0]!ASDS</definedName>
    <definedName name="ASFD" hidden="1">{#N/A,#N/A,FALSE,"인원";#N/A,#N/A,FALSE,"비용2";#N/A,#N/A,FALSE,"비용1";#N/A,#N/A,FALSE,"비용";#N/A,#N/A,FALSE,"보증2";#N/A,#N/A,FALSE,"보증1";#N/A,#N/A,FALSE,"보증";#N/A,#N/A,FALSE,"손익1";#N/A,#N/A,FALSE,"손익";#N/A,#N/A,FALSE,"부서별매출";#N/A,#N/A,FALSE,"매출"}</definedName>
    <definedName name="assdewdwe" hidden="1">{#N/A,#N/A,FALSE,"단축1";#N/A,#N/A,FALSE,"단축2";#N/A,#N/A,FALSE,"단축3";#N/A,#N/A,FALSE,"장축";#N/A,#N/A,FALSE,"4WD"}</definedName>
    <definedName name="AV" hidden="1">{#N/A,#N/A,FALSE,"단축1";#N/A,#N/A,FALSE,"단축2";#N/A,#N/A,FALSE,"단축3";#N/A,#N/A,FALSE,"장축";#N/A,#N/A,FALSE,"4WD"}</definedName>
    <definedName name="BB" hidden="1">#REF!</definedName>
    <definedName name="BHBHBBHHBBHBHBHBHB" hidden="1">{#N/A,#N/A,TRUE,"Y생산";#N/A,#N/A,TRUE,"Y판매";#N/A,#N/A,TRUE,"Y총물량";#N/A,#N/A,TRUE,"Y능력";#N/A,#N/A,TRUE,"YKD"}</definedName>
    <definedName name="btnReturn_click" localSheetId="6">[2]!btnReturn_click</definedName>
    <definedName name="btnReturn_click" localSheetId="7">[2]!btnReturn_click</definedName>
    <definedName name="btnReturn_click" localSheetId="4">[2]!btnReturn_click</definedName>
    <definedName name="btnReturn_click" localSheetId="3">[2]!btnReturn_click</definedName>
    <definedName name="btnReturn_click" localSheetId="2">[2]!btnReturn_click</definedName>
    <definedName name="btnReturn_click" localSheetId="5">[2]!btnReturn_click</definedName>
    <definedName name="btnReturn_click">[2]!btnReturn_click</definedName>
    <definedName name="btw_01">#REF!,#REF!,#REF!,#REF!,#REF!,#REF!,#REF!,#REF!,#REF!</definedName>
    <definedName name="btw_03">#REF!,#REF!,#REF!,#REF!,#REF!</definedName>
    <definedName name="CAE해석" hidden="1">{#N/A,#N/A,FALSE,"단축1";#N/A,#N/A,FALSE,"단축2";#N/A,#N/A,FALSE,"단축3";#N/A,#N/A,FALSE,"장축";#N/A,#N/A,FALSE,"4WD"}</definedName>
    <definedName name="CAPA" hidden="1">{#N/A,#N/A,FALSE,"인원";#N/A,#N/A,FALSE,"비용2";#N/A,#N/A,FALSE,"비용1";#N/A,#N/A,FALSE,"비용";#N/A,#N/A,FALSE,"보증2";#N/A,#N/A,FALSE,"보증1";#N/A,#N/A,FALSE,"보증";#N/A,#N/A,FALSE,"손익1";#N/A,#N/A,FALSE,"손익";#N/A,#N/A,FALSE,"부서별매출";#N/A,#N/A,FALSE,"매출"}</definedName>
    <definedName name="CCCC">[0]!CCCC</definedName>
    <definedName name="cccddd" hidden="1">{#N/A,#N/A,FALSE,"단축1";#N/A,#N/A,FALSE,"단축2";#N/A,#N/A,FALSE,"단축3";#N/A,#N/A,FALSE,"장축";#N/A,#N/A,FALSE,"4WD"}</definedName>
    <definedName name="ci" hidden="1">{#N/A,#N/A,FALSE,"단축1";#N/A,#N/A,FALSE,"단축2";#N/A,#N/A,FALSE,"단축3";#N/A,#N/A,FALSE,"장축";#N/A,#N/A,FALSE,"4WD"}</definedName>
    <definedName name="CONCEPT"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ver2" hidden="1">#REF!</definedName>
    <definedName name="CR" hidden="1">{#N/A,#N/A,TRUE,"Y생산";#N/A,#N/A,TRUE,"Y판매";#N/A,#N/A,TRUE,"Y총물량";#N/A,#N/A,TRUE,"Y능력";#N/A,#N/A,TRUE,"YKD"}</definedName>
    <definedName name="CR5000실적" hidden="1">{#N/A,#N/A,TRUE,"Y생산";#N/A,#N/A,TRUE,"Y판매";#N/A,#N/A,TRUE,"Y총물량";#N/A,#N/A,TRUE,"Y능력";#N/A,#N/A,TRUE,"YKD"}</definedName>
    <definedName name="_xlnm.Criteria">'[3]Tbom-tot'!$D$310</definedName>
    <definedName name="CXVZ" hidden="1">{#N/A,#N/A,FALSE,"인원";#N/A,#N/A,FALSE,"비용2";#N/A,#N/A,FALSE,"비용1";#N/A,#N/A,FALSE,"비용";#N/A,#N/A,FALSE,"보증2";#N/A,#N/A,FALSE,"보증1";#N/A,#N/A,FALSE,"보증";#N/A,#N/A,FALSE,"손익1";#N/A,#N/A,FALSE,"손익";#N/A,#N/A,FALSE,"부서별매출";#N/A,#N/A,FALSE,"매출"}</definedName>
    <definedName name="_xlnm.Database">#REF!</definedName>
    <definedName name="DETAIL1" hidden="1">{#N/A,#N/A,FALSE,"인원";#N/A,#N/A,FALSE,"비용2";#N/A,#N/A,FALSE,"비용1";#N/A,#N/A,FALSE,"비용";#N/A,#N/A,FALSE,"보증2";#N/A,#N/A,FALSE,"보증1";#N/A,#N/A,FALSE,"보증";#N/A,#N/A,FALSE,"손익1";#N/A,#N/A,FALSE,"손익";#N/A,#N/A,FALSE,"부서별매출";#N/A,#N/A,FALSE,"매출"}</definedName>
    <definedName name="DF" hidden="1">{#N/A,#N/A,FALSE,"단축1";#N/A,#N/A,FALSE,"단축2";#N/A,#N/A,FALSE,"단축3";#N/A,#N/A,FALSE,"장축";#N/A,#N/A,FALSE,"4WD"}</definedName>
    <definedName name="DFADFAFA" hidden="1">{#N/A,#N/A,TRUE,"Y생산";#N/A,#N/A,TRUE,"Y판매";#N/A,#N/A,TRUE,"Y총물량";#N/A,#N/A,TRUE,"Y능력";#N/A,#N/A,TRUE,"YKD"}</definedName>
    <definedName name="DFAFASDFASF"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 hidden="1">[4]CAUDIT!#REF!</definedName>
    <definedName name="DKSLDH" hidden="1">{#N/A,#N/A,FALSE,"단축1";#N/A,#N/A,FALSE,"단축2";#N/A,#N/A,FALSE,"단축3";#N/A,#N/A,FALSE,"장축";#N/A,#N/A,FALSE,"4WD"}</definedName>
    <definedName name="DRFDG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L" hidden="1">{#N/A,#N/A,FALSE,"단축1";#N/A,#N/A,FALSE,"단축2";#N/A,#N/A,FALSE,"단축3";#N/A,#N/A,FALSE,"장축";#N/A,#N/A,FALSE,"4WD"}</definedName>
    <definedName name="EFSD">[0]!EFSD</definedName>
    <definedName name="EF제동" hidden="1">{#N/A,#N/A,FALSE,"단축1";#N/A,#N/A,FALSE,"단축2";#N/A,#N/A,FALSE,"단축3";#N/A,#N/A,FALSE,"장축";#N/A,#N/A,FALSE,"4WD"}</definedName>
    <definedName name="EO계획" hidden="1">#REF!</definedName>
    <definedName name="ERRE" hidden="1">{#N/A,#N/A,FALSE,"단축1";#N/A,#N/A,FALSE,"단축2";#N/A,#N/A,FALSE,"단축3";#N/A,#N/A,FALSE,"장축";#N/A,#N/A,FALSE,"4WD"}</definedName>
    <definedName name="FC">[0]!FC</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현황">[0]!FC현황</definedName>
    <definedName name="fdffs" hidden="1">{#N/A,#N/A,FALSE,"단축1";#N/A,#N/A,FALSE,"단축2";#N/A,#N/A,FALSE,"단축3";#N/A,#N/A,FALSE,"장축";#N/A,#N/A,FALSE,"4WD"}</definedName>
    <definedName name="fdsa" hidden="1">{#N/A,#N/A,FALSE,"단축1";#N/A,#N/A,FALSE,"단축2";#N/A,#N/A,FALSE,"단축3";#N/A,#N/A,FALSE,"장축";#N/A,#N/A,FALSE,"4WD"}</definedName>
    <definedName name="fer" hidden="1">{#N/A,#N/A,FALSE,"단축1";#N/A,#N/A,FALSE,"단축2";#N/A,#N/A,FALSE,"단축3";#N/A,#N/A,FALSE,"장축";#N/A,#N/A,FALSE,"4WD"}</definedName>
    <definedName name="FF" hidden="1">#REF!</definedName>
    <definedName name="FFG" hidden="1">{#N/A,#N/A,FALSE,"단축1";#N/A,#N/A,FALSE,"단축2";#N/A,#N/A,FALSE,"단축3";#N/A,#N/A,FALSE,"장축";#N/A,#N/A,FALSE,"4WD"}</definedName>
    <definedName name="FGH"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REEWHEEL" hidden="1">[5]CAUDIT!#REF!</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GGGG" hidden="1">{#N/A,#N/A,FALSE,"단축1";#N/A,#N/A,FALSE,"단축2";#N/A,#N/A,FALSE,"단축3";#N/A,#N/A,FALSE,"장축";#N/A,#N/A,FALSE,"4WD"}</definedName>
    <definedName name="GHUTGHF" hidden="1">{#N/A,#N/A,FALSE,"96 3월물량표";#N/A,#N/A,FALSE,"96 4월물량표";#N/A,#N/A,FALSE,"96 5월물량표"}</definedName>
    <definedName name="GJKADJG" hidden="1">{#N/A,#N/A,FALSE,"단축1";#N/A,#N/A,FALSE,"단축2";#N/A,#N/A,FALSE,"단축3";#N/A,#N/A,FALSE,"장축";#N/A,#N/A,FALSE,"4WD"}</definedName>
    <definedName name="H">"Text 853"</definedName>
    <definedName name="HJJ" hidden="1">{#N/A,#N/A,FALSE,"단축1";#N/A,#N/A,FALSE,"단축2";#N/A,#N/A,FALSE,"단축3";#N/A,#N/A,FALSE,"장축";#N/A,#N/A,FALSE,"4WD"}</definedName>
    <definedName name="HK">[0]!HK</definedName>
    <definedName name="HOCHING">[0]!HOCHING</definedName>
    <definedName name="ic" hidden="1">{#N/A,#N/A,FALSE,"단축1";#N/A,#N/A,FALSE,"단축2";#N/A,#N/A,FALSE,"단축3";#N/A,#N/A,FALSE,"장축";#N/A,#N/A,FALSE,"4WD"}</definedName>
    <definedName name="IMPORT">#REF!</definedName>
    <definedName name="JK" hidden="1">{#N/A,#N/A,TRUE,"Y생산";#N/A,#N/A,TRUE,"Y판매";#N/A,#N/A,TRUE,"Y총물량";#N/A,#N/A,TRUE,"Y능력";#N/A,#N/A,TRUE,"YKD"}</definedName>
    <definedName name="key" hidden="1">#REF!</definedName>
    <definedName name="KJH">[0]!KJH</definedName>
    <definedName name="KK">[0]!KK</definedName>
    <definedName name="KKJGLGK" hidden="1">{#N/A,#N/A,FALSE,"단축1";#N/A,#N/A,FALSE,"단축2";#N/A,#N/A,FALSE,"단축3";#N/A,#N/A,FALSE,"장축";#N/A,#N/A,FALSE,"4WD"}</definedName>
    <definedName name="kkkk" hidden="1">#REF!</definedName>
    <definedName name="KLKL" hidden="1">{#N/A,#N/A,FALSE,"단축1";#N/A,#N/A,FALSE,"단축2";#N/A,#N/A,FALSE,"단축3";#N/A,#N/A,FALSE,"장축";#N/A,#N/A,FALSE,"4WD"}</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W" hidden="1">{#N/A,#N/A,FALSE,"단축1";#N/A,#N/A,FALSE,"단축2";#N/A,#N/A,FALSE,"단축3";#N/A,#N/A,FALSE,"장축";#N/A,#N/A,FALSE,"4WD"}</definedName>
    <definedName name="KU" hidden="1">{#N/A,#N/A,TRUE,"Y생산";#N/A,#N/A,TRUE,"Y판매";#N/A,#N/A,TRUE,"Y총물량";#N/A,#N/A,TRUE,"Y능력";#N/A,#N/A,TRUE,"YKD"}</definedName>
    <definedName name="LANOS">#REF!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[0]!LC3차서</definedName>
    <definedName name="LINE검토2" hidden="1">{#N/A,#N/A,TRUE,"Y생산";#N/A,#N/A,TRUE,"Y판매";#N/A,#N/A,TRUE,"Y총물량";#N/A,#N/A,TRUE,"Y능력";#N/A,#N/A,TRUE,"YKD"}</definedName>
    <definedName name="LKJ" hidden="1">{#N/A,#N/A,FALSE,"을지 (4)";#N/A,#N/A,FALSE,"을지 (5)";#N/A,#N/A,FALSE,"을지 (6)"}</definedName>
    <definedName name="lps" hidden="1">{#N/A,#N/A,FALSE,"단축1";#N/A,#N/A,FALSE,"단축2";#N/A,#N/A,FALSE,"단축3";#N/A,#N/A,FALSE,"장축";#N/A,#N/A,FALSE,"4WD"}</definedName>
    <definedName name="LUP" hidden="1">#REF!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acro1">[0]!Macro1</definedName>
    <definedName name="Macro2">[0]!Macro2</definedName>
    <definedName name="Macro3">[0]!Macro3</definedName>
    <definedName name="Macro5">[0]!Macro5</definedName>
    <definedName name="MH향상" hidden="1">{#N/A,#N/A,TRUE,"Y생산";#N/A,#N/A,TRUE,"Y판매";#N/A,#N/A,TRUE,"Y총물량";#N/A,#N/A,TRUE,"Y능력";#N/A,#N/A,TRUE,"YKD"}</definedName>
    <definedName name="MIPX3">[0]!MIPX3</definedName>
    <definedName name="MMMMM" hidden="1">{#N/A,#N/A,FALSE,"단축1";#N/A,#N/A,FALSE,"단축2";#N/A,#N/A,FALSE,"단축3";#N/A,#N/A,FALSE,"장축";#N/A,#N/A,FALSE,"4WD"}</definedName>
    <definedName name="Module1.Macro1">[0]!Module1.Macro1</definedName>
    <definedName name="Module1.Macro2">[0]!Module1.Macro2</definedName>
    <definedName name="Module1.Macro3">[0]!Module1.Macro3</definedName>
    <definedName name="Module2.Macro5">[0]!Module2.Macro5</definedName>
    <definedName name="Module4.매크로10">[0]!Module4.매크로10</definedName>
    <definedName name="Module4.매크로11">[0]!Module4.매크로11</definedName>
    <definedName name="Module4.매크로12">[0]!Module4.매크로12</definedName>
    <definedName name="Module4.매크로13">[0]!Module4.매크로13</definedName>
    <definedName name="Module4.매크로14">[0]!Module4.매크로14</definedName>
    <definedName name="Module4.매크로15">[0]!Module4.매크로15</definedName>
    <definedName name="Module4.매크로16">[0]!Module4.매크로16</definedName>
    <definedName name="Module4.매크로17">[0]!Module4.매크로17</definedName>
    <definedName name="Module4.매크로6">[0]!Module4.매크로6</definedName>
    <definedName name="Module4.매크로8">[0]!Module4.매크로8</definedName>
    <definedName name="Module4.매크로9">[0]!Module4.매크로9</definedName>
    <definedName name="NEW" hidden="1">#REF!</definedName>
    <definedName name="NOTE" hidden="1">{#N/A,#N/A,FALSE,"단축1";#N/A,#N/A,FALSE,"단축2";#N/A,#N/A,FALSE,"단축3";#N/A,#N/A,FALSE,"장축";#N/A,#N/A,FALSE,"4WD"}</definedName>
    <definedName name="OOO" hidden="1">{#N/A,#N/A,TRUE,"Y생산";#N/A,#N/A,TRUE,"Y판매";#N/A,#N/A,TRUE,"Y총물량";#N/A,#N/A,TRUE,"Y능력";#N/A,#N/A,TRUE,"YKD"}</definedName>
    <definedName name="PAD">[0]!PAD</definedName>
    <definedName name="PADWN" hidden="1">#REF!</definedName>
    <definedName name="PARK" hidden="1">{#N/A,#N/A,FALSE,"단축1";#N/A,#N/A,FALSE,"단축2";#N/A,#N/A,FALSE,"단축3";#N/A,#N/A,FALSE,"장축";#N/A,#N/A,FALSE,"4WD"}</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p" hidden="1">#REF!</definedName>
    <definedName name="PPK" hidden="1">{#N/A,#N/A,FALSE,"96 3월물량표";#N/A,#N/A,FALSE,"96 4월물량표";#N/A,#N/A,FALSE,"96 5월물량표"}</definedName>
    <definedName name="PPP" hidden="1">#REF!</definedName>
    <definedName name="PPPP" hidden="1">{#N/A,#N/A,FALSE,"단축1";#N/A,#N/A,FALSE,"단축2";#N/A,#N/A,FALSE,"단축3";#N/A,#N/A,FALSE,"장축";#N/A,#N/A,FALSE,"4WD"}</definedName>
    <definedName name="_xlnm.Print_Area" localSheetId="6">'BOM_(개조) HiNAS Con SVM'!$A$1:$O$37</definedName>
    <definedName name="_xlnm.Print_Area" localSheetId="7">'BOM_(개조) HiNAS Control'!$A$1:$O$26</definedName>
    <definedName name="_xlnm.Print_Area" localSheetId="4">'BOM_(신조) HiNAS Con V2'!$A$1:$O$31</definedName>
    <definedName name="_xlnm.Print_Area" localSheetId="3">'BOM_(신조) HiNAS Control'!$A$1:$O$32</definedName>
    <definedName name="_xlnm.Print_Area" localSheetId="1">'BOM_(신조) HiNAS Nav'!$A$1:$O$25</definedName>
    <definedName name="_xlnm.Print_Area" localSheetId="2">'BOM_(신조) HiNAS Nav DOM'!$A$1:$O$26</definedName>
    <definedName name="_xlnm.Print_Area" localSheetId="5">'BOM_(신조) HiNAS SVM'!$A$1:$O$26</definedName>
    <definedName name="_xlnm.Print_Area" localSheetId="9">완제품리스트!$B$1:$F$21</definedName>
    <definedName name="_xlnm.Print_Area" localSheetId="8">자재리스트!$B$1:$M$92</definedName>
    <definedName name="Print_Area_MI">'[3](BS,CF)-BACK'!#REF!</definedName>
    <definedName name="_xlnm.Print_Titles" localSheetId="8">자재리스트!$1:$3</definedName>
    <definedName name="PROTO2" hidden="1">{#N/A,#N/A,FALSE,"단축1";#N/A,#N/A,FALSE,"단축2";#N/A,#N/A,FALSE,"단축3";#N/A,#N/A,FALSE,"장축";#N/A,#N/A,FALSE,"4WD"}</definedName>
    <definedName name="PROTO3" hidden="1">{#N/A,#N/A,FALSE,"단축1";#N/A,#N/A,FALSE,"단축2";#N/A,#N/A,FALSE,"단축3";#N/A,#N/A,FALSE,"장축";#N/A,#N/A,FALSE,"4WD"}</definedName>
    <definedName name="Q">[0]!Q</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ltm" hidden="1">{#N/A,#N/A,TRUE,"Y생산";#N/A,#N/A,TRUE,"Y판매";#N/A,#N/A,TRUE,"Y총물량";#N/A,#N/A,TRUE,"Y능력";#N/A,#N/A,TRUE,"YKD"}</definedName>
    <definedName name="qlty" hidden="1">{#N/A,#N/A,TRUE,"Y생산";#N/A,#N/A,TRUE,"Y판매";#N/A,#N/A,TRUE,"Y총물량";#N/A,#N/A,TRUE,"Y능력";#N/A,#N/A,TRUE,"YKD"}</definedName>
    <definedName name="QQQAAASSS" hidden="1">{#N/A,#N/A,TRUE,"Y생산";#N/A,#N/A,TRUE,"Y판매";#N/A,#N/A,TRUE,"Y총물량";#N/A,#N/A,TRUE,"Y능력";#N/A,#N/A,TRUE,"YKD"}</definedName>
    <definedName name="QQQQ" hidden="1">{#N/A,#N/A,FALSE,"96 3월물량표";#N/A,#N/A,FALSE,"96 4월물량표";#N/A,#N/A,FALSE,"96 5월물량표"}</definedName>
    <definedName name="QQQQQQQ" hidden="1">{#N/A,#N/A,TRUE,"Y생산";#N/A,#N/A,TRUE,"Y판매";#N/A,#N/A,TRUE,"Y총물량";#N/A,#N/A,TRUE,"Y능력";#N/A,#N/A,TRUE,"YKD"}</definedName>
    <definedName name="QW" hidden="1">{#N/A,#N/A,FALSE,"단축1";#N/A,#N/A,FALSE,"단축2";#N/A,#N/A,FALSE,"단축3";#N/A,#N/A,FALSE,"장축";#N/A,#N/A,FALSE,"4WD"}</definedName>
    <definedName name="QWER" hidden="1">{#N/A,#N/A,FALSE,"단축1";#N/A,#N/A,FALSE,"단축2";#N/A,#N/A,FALSE,"단축3";#N/A,#N/A,FALSE,"장축";#N/A,#N/A,FALSE,"4WD"}</definedName>
    <definedName name="R_COVER" hidden="1">{#N/A,#N/A,FALSE,"단축1";#N/A,#N/A,FALSE,"단축2";#N/A,#N/A,FALSE,"단축3";#N/A,#N/A,FALSE,"장축";#N/A,#N/A,FALSE,"4WD"}</definedName>
    <definedName name="RE" hidden="1">{#N/A,#N/A,FALSE,"초도품";#N/A,#N/A,FALSE,"초도품 (2)";#N/A,#N/A,FALSE,"초도품 (3)";#N/A,#N/A,FALSE,"초도품 (4)";#N/A,#N/A,FALSE,"초도품 (5)";#N/A,#N/A,FALSE,"초도품 (6)"}</definedName>
    <definedName name="REJ정리">[0]!REJ정리</definedName>
    <definedName name="RLA">[0]!RLA</definedName>
    <definedName name="RRR">{#N/A,#N/A,FALSE,"단축1";#N/A,#N/A,FALSE,"단축2";#N/A,#N/A,FALSE,"단축3";#N/A,#N/A,FALSE,"장축";#N/A,#N/A,FALSE,"4WD"}</definedName>
    <definedName name="rrrrr" hidden="1">#REF!</definedName>
    <definedName name="SADF" hidden="1">{#N/A,#N/A,FALSE,"단축1";#N/A,#N/A,FALSE,"단축2";#N/A,#N/A,FALSE,"단축3";#N/A,#N/A,FALSE,"장축";#N/A,#N/A,FALSE,"4WD"}</definedName>
    <definedName name="SD" hidden="1">{#N/A,#N/A,FALSE,"인원";#N/A,#N/A,FALSE,"비용2";#N/A,#N/A,FALSE,"비용1";#N/A,#N/A,FALSE,"비용";#N/A,#N/A,FALSE,"보증2";#N/A,#N/A,FALSE,"보증1";#N/A,#N/A,FALSE,"보증";#N/A,#N/A,FALSE,"손익1";#N/A,#N/A,FALSE,"손익";#N/A,#N/A,FALSE,"부서별매출";#N/A,#N/A,FALSE,"매출"}</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SDSD" hidden="1">{#N/A,#N/A,FALSE,"단축1";#N/A,#N/A,FALSE,"단축2";#N/A,#N/A,FALSE,"단축3";#N/A,#N/A,FALSE,"장축";#N/A,#N/A,FALSE,"4WD"}</definedName>
    <definedName name="SEO">[0]!SEO</definedName>
    <definedName name="SFG" hidden="1">{#N/A,#N/A,FALSE,"단축1";#N/A,#N/A,FALSE,"단축2";#N/A,#N/A,FALSE,"단축3";#N/A,#N/A,FALSE,"장축";#N/A,#N/A,FALSE,"4WD"}</definedName>
    <definedName name="SFSFSF" hidden="1">{#N/A,#N/A,FALSE,"단축1";#N/A,#N/A,FALSE,"단축2";#N/A,#N/A,FALSE,"단축3";#N/A,#N/A,FALSE,"장축";#N/A,#N/A,FALSE,"4WD"}</definedName>
    <definedName name="SGFA" hidden="1">{#N/A,#N/A,FALSE,"인원";#N/A,#N/A,FALSE,"비용2";#N/A,#N/A,FALSE,"비용1";#N/A,#N/A,FALSE,"비용";#N/A,#N/A,FALSE,"보증2";#N/A,#N/A,FALSE,"보증1";#N/A,#N/A,FALSE,"보증";#N/A,#N/A,FALSE,"손익1";#N/A,#N/A,FALSE,"손익";#N/A,#N/A,FALSE,"부서별매출";#N/A,#N/A,FALSE,"매출"}</definedName>
    <definedName name="SHI" hidden="1">{#N/A,#N/A,FALSE,"단축1";#N/A,#N/A,FALSE,"단축2";#N/A,#N/A,FALSE,"단축3";#N/A,#N/A,FALSE,"장축";#N/A,#N/A,FALSE,"4WD"}</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ONATA" hidden="1">{#N/A,#N/A,FALSE,"해외크레임";#N/A,#N/A,FALSE,"ACCENT현황";#N/A,#N/A,FALSE,"AVANTE";#N/A,#N/A,FALSE,"SONATA(3)";#N/A,#N/A,FALSE,"국내크레임"}</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 hidden="1">#REF!</definedName>
    <definedName name="SSDD" hidden="1">{#N/A,#N/A,FALSE,"단축1";#N/A,#N/A,FALSE,"단축2";#N/A,#N/A,FALSE,"단축3";#N/A,#N/A,FALSE,"장축";#N/A,#N/A,FALSE,"4WD"}</definedName>
    <definedName name="SW" hidden="1">{#N/A,#N/A,FALSE,"단축1";#N/A,#N/A,FALSE,"단축2";#N/A,#N/A,FALSE,"단축3";#N/A,#N/A,FALSE,"장축";#N/A,#N/A,FALSE,"4WD"}</definedName>
    <definedName name="T8D_ULEV1" hidden="1">{#N/A,#N/A,FALSE,"단축1";#N/A,#N/A,FALSE,"단축2";#N/A,#N/A,FALSE,"단축3";#N/A,#N/A,FALSE,"장축";#N/A,#N/A,FALSE,"4WD"}</definedName>
    <definedName name="TB">[0]!TB</definedName>
    <definedName name="tc" hidden="1">{#N/A,#N/A,FALSE,"단축1";#N/A,#N/A,FALSE,"단축2";#N/A,#N/A,FALSE,"단축3";#N/A,#N/A,FALSE,"장축";#N/A,#N/A,FALSE,"4WD"}</definedName>
    <definedName name="tci" hidden="1">{#N/A,#N/A,FALSE,"단축1";#N/A,#N/A,FALSE,"단축2";#N/A,#N/A,FALSE,"단축3";#N/A,#N/A,FALSE,"장축";#N/A,#N/A,FALSE,"4WD"}</definedName>
    <definedName name="TEST">#REF!</definedName>
    <definedName name="test2">#REF!</definedName>
    <definedName name="TEWR" hidden="1">{#N/A,#N/A,TRUE,"Y생산";#N/A,#N/A,TRUE,"Y판매";#N/A,#N/A,TRUE,"Y총물량";#N/A,#N/A,TRUE,"Y능력";#N/A,#N/A,TRUE,"YKD"}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LS" hidden="1">{#N/A,#N/A,FALSE,"단축1";#N/A,#N/A,FALSE,"단축2";#N/A,#N/A,FALSE,"단축3";#N/A,#N/A,FALSE,"장축";#N/A,#N/A,FALSE,"4WD"}</definedName>
    <definedName name="TM">[0]!TM</definedName>
    <definedName name="trim" hidden="1">#REF!</definedName>
    <definedName name="trim1" hidden="1">#REF!</definedName>
    <definedName name="TRIM별COST2" hidden="1">{#N/A,#N/A,FALSE,"단축1";#N/A,#N/A,FALSE,"단축2";#N/A,#N/A,FALSE,"단축3";#N/A,#N/A,FALSE,"장축";#N/A,#N/A,FALSE,"4WD"}</definedName>
    <definedName name="TTT">#REF!</definedName>
    <definedName name="UKFL" hidden="1">{#N/A,#N/A,FALSE,"단축1";#N/A,#N/A,FALSE,"단축2";#N/A,#N/A,FALSE,"단축3";#N/A,#N/A,FALSE,"장축";#N/A,#N/A,FALSE,"4WD"}</definedName>
    <definedName name="uu">[0]!uu</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E"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RPT." hidden="1">{#N/A,#N/A,FALSE,"인원";#N/A,#N/A,FALSE,"비용2";#N/A,#N/A,FALSE,"비용1";#N/A,#N/A,FALSE,"비용";#N/A,#N/A,FALSE,"보증2";#N/A,#N/A,FALSE,"보증1";#N/A,#N/A,FALSE,"보증";#N/A,#N/A,FALSE,"손익1";#N/A,#N/A,FALSE,"손익";#N/A,#N/A,FALSE,"부서별매출";#N/A,#N/A,FALSE,"매출"}</definedName>
    <definedName name="wrn.Y차._.종합." hidden="1">{#N/A,#N/A,TRUE,"Y생산";#N/A,#N/A,TRUE,"Y판매";#N/A,#N/A,TRUE,"Y총물량";#N/A,#N/A,TRUE,"Y능력";#N/A,#N/A,TRUE,"YKD"}</definedName>
    <definedName name="wrn.신규dep._.full._.set." hidden="1">{#N/A,#N/A,FALSE,"신규dep";#N/A,#N/A,FALSE,"신규dep-금형상각후";#N/A,#N/A,FALSE,"신규dep-연구비상각후";#N/A,#N/A,FALSE,"신규dep-기계,공구상각후"}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X">0</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품확일정" hidden="1">{#N/A,#N/A,FALSE,"단축1";#N/A,#N/A,FALSE,"단축2";#N/A,#N/A,FALSE,"단축3";#N/A,#N/A,FALSE,"장축";#N/A,#N/A,FALSE,"4WD"}</definedName>
    <definedName name="XSDDFASFAAF" hidden="1">{#N/A,#N/A,TRUE,"Y생산";#N/A,#N/A,TRUE,"Y판매";#N/A,#N/A,TRUE,"Y총물량";#N/A,#N/A,TRUE,"Y능력";#N/A,#N/A,TRUE,"YKD"}</definedName>
    <definedName name="YYY" hidden="1">{#N/A,#N/A,TRUE,"Y생산";#N/A,#N/A,TRUE,"Y판매";#N/A,#N/A,TRUE,"Y총물량";#N/A,#N/A,TRUE,"Y능력";#N/A,#N/A,TRUE,"YKD"}</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HGKSDLG" hidden="1">{#N/A,#N/A,FALSE,"인원";#N/A,#N/A,FALSE,"비용2";#N/A,#N/A,FALSE,"비용1";#N/A,#N/A,FALSE,"비용";#N/A,#N/A,FALSE,"보증2";#N/A,#N/A,FALSE,"보증1";#N/A,#N/A,FALSE,"보증";#N/A,#N/A,FALSE,"손익1";#N/A,#N/A,FALSE,"손익";#N/A,#N/A,FALSE,"부서별매출";#N/A,#N/A,FALSE,"매출"}</definedName>
    <definedName name="ZZZ" hidden="1">{#N/A,#N/A,FALSE,"단축1";#N/A,#N/A,FALSE,"단축2";#N/A,#N/A,FALSE,"단축3";#N/A,#N/A,FALSE,"장축";#N/A,#N/A,FALSE,"4WD"}</definedName>
    <definedName name="π">PI()</definedName>
    <definedName name="ㄱㄱ" hidden="1">{#N/A,#N/A,FALSE,"초도품";#N/A,#N/A,FALSE,"초도품 (2)";#N/A,#N/A,FALSE,"초도품 (3)";#N/A,#N/A,FALSE,"초도품 (4)";#N/A,#N/A,FALSE,"초도품 (5)";#N/A,#N/A,FALSE,"초도품 (6)"}</definedName>
    <definedName name="ㄱㄱㄱ" hidden="1">{#N/A,#N/A,FALSE,"단축1";#N/A,#N/A,FALSE,"단축2";#N/A,#N/A,FALSE,"단축3";#N/A,#N/A,FALSE,"장축";#N/A,#N/A,FALSE,"4WD"}</definedName>
    <definedName name="ㄱㅇ"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격" hidden="1">{#N/A,#N/A,FALSE,"단축1";#N/A,#N/A,FALSE,"단축2";#N/A,#N/A,FALSE,"단축3";#N/A,#N/A,FALSE,"장축";#N/A,#N/A,FALSE,"4WD"}</definedName>
    <definedName name="가나" hidden="1">{#N/A,#N/A,TRUE,"Y생산";#N/A,#N/A,TRUE,"Y판매";#N/A,#N/A,TRUE,"Y총물량";#N/A,#N/A,TRUE,"Y능력";#N/A,#N/A,TRUE,"YKD"}</definedName>
    <definedName name="가동비" hidden="1">#REF!</definedName>
    <definedName name="가동조건" hidden="1">{#N/A,#N/A,FALSE,"96 3월물량표";#N/A,#N/A,FALSE,"96 4월물량표";#N/A,#N/A,FALSE,"96 5월물량표"}</definedName>
    <definedName name="강"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걍" hidden="1">{#N/A,#N/A,FALSE,"단축1";#N/A,#N/A,FALSE,"단축2";#N/A,#N/A,FALSE,"단축3";#N/A,#N/A,FALSE,"장축";#N/A,#N/A,FALSE,"4WD"}</definedName>
    <definedName name="거" hidden="1">{#N/A,#N/A,FALSE,"단축1";#N/A,#N/A,FALSE,"단축2";#N/A,#N/A,FALSE,"단축3";#N/A,#N/A,FALSE,"장축";#N/A,#N/A,FALSE,"4WD"}</definedName>
    <definedName name="건">[0]!건</definedName>
    <definedName name="걸" hidden="1">{#N/A,#N/A,FALSE,"단축1";#N/A,#N/A,FALSE,"단축2";#N/A,#N/A,FALSE,"단축3";#N/A,#N/A,FALSE,"장축";#N/A,#N/A,FALSE,"4WD"}</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골" hidden="1">{#N/A,#N/A,FALSE,"단축1";#N/A,#N/A,FALSE,"단축2";#N/A,#N/A,FALSE,"단축3";#N/A,#N/A,FALSE,"장축";#N/A,#N/A,FALSE,"4WD"}</definedName>
    <definedName name="공공" hidden="1">{#N/A,#N/A,FALSE,"단축1";#N/A,#N/A,FALSE,"단축2";#N/A,#N/A,FALSE,"단축3";#N/A,#N/A,FALSE,"장축";#N/A,#N/A,FALSE,"4WD"}</definedName>
    <definedName name="공성환" hidden="1">{#N/A,#N/A,FALSE,"단축1";#N/A,#N/A,FALSE,"단축2";#N/A,#N/A,FALSE,"단축3";#N/A,#N/A,FALSE,"장축";#N/A,#N/A,FALSE,"4WD"}</definedName>
    <definedName name="공작" hidden="1">{#N/A,#N/A,FALSE,"단축1";#N/A,#N/A,FALSE,"단축2";#N/A,#N/A,FALSE,"단축3";#N/A,#N/A,FALSE,"장축";#N/A,#N/A,FALSE,"4WD"}</definedName>
    <definedName name="그냥해"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기능" hidden="1">{#N/A,#N/A,FALSE,"단축1";#N/A,#N/A,FALSE,"단축2";#N/A,#N/A,FALSE,"단축3";#N/A,#N/A,FALSE,"장축";#N/A,#N/A,FALSE,"4WD"}</definedName>
    <definedName name="기아" hidden="1">{#N/A,#N/A,FALSE,"단축1";#N/A,#N/A,FALSE,"단축2";#N/A,#N/A,FALSE,"단축3";#N/A,#N/A,FALSE,"장축";#N/A,#N/A,FALSE,"4WD"}</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2">#REF!</definedName>
    <definedName name="기타1">[0]!기타1</definedName>
    <definedName name="김삿갓">[0]!김삿갓</definedName>
    <definedName name="김석빈" hidden="1">{#N/A,#N/A,FALSE,"단축1";#N/A,#N/A,FALSE,"단축2";#N/A,#N/A,FALSE,"단축3";#N/A,#N/A,FALSE,"장축";#N/A,#N/A,FALSE,"4WD"}</definedName>
    <definedName name="김영호">[0]!김영호</definedName>
    <definedName name="ㄳ" hidden="1">{#N/A,#N/A,FALSE,"단축1";#N/A,#N/A,FALSE,"단축2";#N/A,#N/A,FALSE,"단축3";#N/A,#N/A,FALSE,"장축";#N/A,#N/A,FALSE,"4WD"}</definedName>
    <definedName name="ㄳㄷㄳ" hidden="1">{#N/A,#N/A,FALSE,"단축1";#N/A,#N/A,FALSE,"단축2";#N/A,#N/A,FALSE,"단축3";#N/A,#N/A,FALSE,"장축";#N/A,#N/A,FALSE,"4WD"}</definedName>
    <definedName name="ㄴㄴ" hidden="1">{#N/A,#N/A,FALSE,"을지 (4)";#N/A,#N/A,FALSE,"을지 (5)";#N/A,#N/A,FALSE,"을지 (6)"}</definedName>
    <definedName name="ㄴㄴㄴㄴㄴ" hidden="1">{#N/A,#N/A,FALSE,"단축1";#N/A,#N/A,FALSE,"단축2";#N/A,#N/A,FALSE,"단축3";#N/A,#N/A,FALSE,"장축";#N/A,#N/A,FALSE,"4WD"}</definedName>
    <definedName name="ㄴㄴㅁ" hidden="1">#REF!</definedName>
    <definedName name="ㄴ내역" hidden="1">{#N/A,#N/A,FALSE,"단축1";#N/A,#N/A,FALSE,"단축2";#N/A,#N/A,FALSE,"단축3";#N/A,#N/A,FALSE,"장축";#N/A,#N/A,FALSE,"4WD"}</definedName>
    <definedName name="ㄴㅁㅇㅎㅇ롱로" hidden="1">#REF!</definedName>
    <definedName name="ㄴㅇ"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ㅇㄴㄹ" hidden="1">{#N/A,#N/A,FALSE,"단축1";#N/A,#N/A,FALSE,"단축2";#N/A,#N/A,FALSE,"단축3";#N/A,#N/A,FALSE,"장축";#N/A,#N/A,FALSE,"4WD"}</definedName>
    <definedName name="ㄴㅇㅊㄹㄴㅇㄹ" hidden="1">{#N/A,#N/A,FALSE,"단축1";#N/A,#N/A,FALSE,"단축2";#N/A,#N/A,FALSE,"단축3";#N/A,#N/A,FALSE,"장축";#N/A,#N/A,FALSE,"4WD"}</definedName>
    <definedName name="ㄴㅋ" hidden="1">{#N/A,#N/A,FALSE,"단축1";#N/A,#N/A,FALSE,"단축2";#N/A,#N/A,FALSE,"단축3";#N/A,#N/A,FALSE,"장축";#N/A,#N/A,FALSE,"4WD"}</definedName>
    <definedName name="나">[0]!나</definedName>
    <definedName name="나ㅣ나ㅣㄴ">[0]!나ㅣ나ㅣㄴ</definedName>
    <definedName name="내장변경" hidden="1">{#N/A,#N/A,FALSE,"단축1";#N/A,#N/A,FALSE,"단축2";#N/A,#N/A,FALSE,"단축3";#N/A,#N/A,FALSE,"장축";#N/A,#N/A,FALSE,"4WD"}</definedName>
    <definedName name="년말수정" hidden="1">{#N/A,#N/A,TRUE,"Y생산";#N/A,#N/A,TRUE,"Y판매";#N/A,#N/A,TRUE,"Y총물량";#N/A,#N/A,TRUE,"Y능력";#N/A,#N/A,TRUE,"YKD"}</definedName>
    <definedName name="ㄷㄱㄷㄱ" hidden="1">{#N/A,#N/A,FALSE,"단축1";#N/A,#N/A,FALSE,"단축2";#N/A,#N/A,FALSE,"단축3";#N/A,#N/A,FALSE,"장축";#N/A,#N/A,FALSE,"4WD"}</definedName>
    <definedName name="ㄷㄷ" hidden="1">{#N/A,#N/A,FALSE,"단축1";#N/A,#N/A,FALSE,"단축2";#N/A,#N/A,FALSE,"단축3";#N/A,#N/A,FALSE,"장축";#N/A,#N/A,FALSE,"4WD"}</definedName>
    <definedName name="ㄷㅇ" hidden="1">{#N/A,#N/A,TRUE,"Y생산";#N/A,#N/A,TRUE,"Y판매";#N/A,#N/A,TRUE,"Y총물량";#N/A,#N/A,TRUE,"Y능력";#N/A,#N/A,TRUE,"YKD"}</definedName>
    <definedName name="단가기준" hidden="1">{#N/A,#N/A,TRUE,"Y생산";#N/A,#N/A,TRUE,"Y판매";#N/A,#N/A,TRUE,"Y총물량";#N/A,#N/A,TRUE,"Y능력";#N/A,#N/A,TRUE,"YKD"}</definedName>
    <definedName name="단기" hidden="1">{#N/A,#N/A,TRUE,"Y생산";#N/A,#N/A,TRUE,"Y판매";#N/A,#N/A,TRUE,"Y총물량";#N/A,#N/A,TRUE,"Y능력";#N/A,#N/A,TRUE,"YKD"}</definedName>
    <definedName name="단위">1000</definedName>
    <definedName name="대부" hidden="1">{#N/A,#N/A,FALSE,"단축1";#N/A,#N/A,FALSE,"단축2";#N/A,#N/A,FALSE,"단축3";#N/A,#N/A,FALSE,"장축";#N/A,#N/A,FALSE,"4WD"}</definedName>
    <definedName name="대원" hidden="1">#REF!</definedName>
    <definedName name="대원3" hidden="1">#REF!</definedName>
    <definedName name="대원4" hidden="1">#REF!</definedName>
    <definedName name="대책서" hidden="1">{#N/A,#N/A,FALSE,"단축1";#N/A,#N/A,FALSE,"단축2";#N/A,#N/A,FALSE,"단축3";#N/A,#N/A,FALSE,"장축";#N/A,#N/A,FALSE,"4WD"}</definedName>
    <definedName name="도어" hidden="1">[6]CAUDIT!#REF!</definedName>
    <definedName name="도어1" hidden="1">[6]CAUDIT!#REF!</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디젤1" hidden="1">{#N/A,#N/A,FALSE,"단축1";#N/A,#N/A,FALSE,"단축2";#N/A,#N/A,FALSE,"단축3";#N/A,#N/A,FALSE,"장축";#N/A,#N/A,FALSE,"4WD"}</definedName>
    <definedName name="ㄹㅇ" hidden="1">{#N/A,#N/A,FALSE,"단축1";#N/A,#N/A,FALSE,"단축2";#N/A,#N/A,FALSE,"단축3";#N/A,#N/A,FALSE,"장축";#N/A,#N/A,FALSE,"4WD"}</definedName>
    <definedName name="ㄹ호ㅓㅓ" hidden="1">{#N/A,#N/A,FALSE,"단축1";#N/A,#N/A,FALSE,"단축2";#N/A,#N/A,FALSE,"단축3";#N/A,#N/A,FALSE,"장축";#N/A,#N/A,FALSE,"4WD"}</definedName>
    <definedName name="로커커버" hidden="1">{#N/A,#N/A,FALSE,"단축1";#N/A,#N/A,FALSE,"단축2";#N/A,#N/A,FALSE,"단축3";#N/A,#N/A,FALSE,"장축";#N/A,#N/A,FALSE,"4WD"}</definedName>
    <definedName name="롱" hidden="1">{#N/A,#N/A,FALSE,"단축1";#N/A,#N/A,FALSE,"단축2";#N/A,#N/A,FALSE,"단축3";#N/A,#N/A,FALSE,"장축";#N/A,#N/A,FALSE,"4WD"}</definedName>
    <definedName name="료ㅕㅐㅑ" hidden="1">{#N/A,#N/A,FALSE,"단축1";#N/A,#N/A,FALSE,"단축2";#N/A,#N/A,FALSE,"단축3";#N/A,#N/A,FALSE,"장축";#N/A,#N/A,FALSE,"4WD"}</definedName>
    <definedName name="리" hidden="1">{#N/A,#N/A,FALSE,"단축1";#N/A,#N/A,FALSE,"단축2";#N/A,#N/A,FALSE,"단축3";#N/A,#N/A,FALSE,"장축";#N/A,#N/A,FALSE,"4WD"}</definedName>
    <definedName name="ㅁ" hidden="1">[0]!ㅁ</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{#N/A,#N/A,FALSE,"단축1";#N/A,#N/A,FALSE,"단축2";#N/A,#N/A,FALSE,"단축3";#N/A,#N/A,FALSE,"장축";#N/A,#N/A,FALSE,"4WD"}</definedName>
    <definedName name="ㅁㄴㅇㅁㄴㅇ" hidden="1">{#N/A,#N/A,FALSE,"단축1";#N/A,#N/A,FALSE,"단축2";#N/A,#N/A,FALSE,"단축3";#N/A,#N/A,FALSE,"장축";#N/A,#N/A,FALSE,"4WD"}</definedName>
    <definedName name="ㅁㄹ" hidden="1">{#N/A,#N/A,FALSE,"단축1";#N/A,#N/A,FALSE,"단축2";#N/A,#N/A,FALSE,"단축3";#N/A,#N/A,FALSE,"장축";#N/A,#N/A,FALSE,"4WD"}</definedName>
    <definedName name="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ㅇㄹ" hidden="1">{#N/A,#N/A,FALSE,"단축1";#N/A,#N/A,FALSE,"단축2";#N/A,#N/A,FALSE,"단축3";#N/A,#N/A,FALSE,"장축";#N/A,#N/A,FALSE,"4WD"}</definedName>
    <definedName name="ㅁㅇㅊㅁㄴㅇㄹ" hidden="1">{#N/A,#N/A,FALSE,"단축1";#N/A,#N/A,FALSE,"단축2";#N/A,#N/A,FALSE,"단축3";#N/A,#N/A,FALSE,"장축";#N/A,#N/A,FALSE,"4WD"}</definedName>
    <definedName name="ㅁㅈㅂㅈㅂ" hidden="1">#REF!</definedName>
    <definedName name="마감" hidden="1">{#N/A,#N/A,TRUE,"Y생산";#N/A,#N/A,TRUE,"Y판매";#N/A,#N/A,TRUE,"Y총물량";#N/A,#N/A,TRUE,"Y능력";#N/A,#N/A,TRUE,"YKD"}</definedName>
    <definedName name="말자" hidden="1">{#N/A,#N/A,FALSE,"단축1";#N/A,#N/A,FALSE,"단축2";#N/A,#N/A,FALSE,"단축3";#N/A,#N/A,FALSE,"장축";#N/A,#N/A,FALSE,"4WD"}</definedName>
    <definedName name="매크로123">[0]!매크로123</definedName>
    <definedName name="매크로1245">[0]!매크로1245</definedName>
    <definedName name="매크로14">[0]!매크로14</definedName>
    <definedName name="매크로15">[0]!매크로15</definedName>
    <definedName name="매크로16">[0]!매크로16</definedName>
    <definedName name="매크로17">[0]!매크로17</definedName>
    <definedName name="매크로6">[0]!매크로6</definedName>
    <definedName name="매크로7">[0]!매크로7</definedName>
    <definedName name="멍멍">[0]!멍멍</definedName>
    <definedName name="목차" hidden="1">{#N/A,#N/A,FALSE,"단축1";#N/A,#N/A,FALSE,"단축2";#N/A,#N/A,FALSE,"단축3";#N/A,#N/A,FALSE,"장축";#N/A,#N/A,FALSE,"4WD"}</definedName>
    <definedName name="무샥">[0]!무샥</definedName>
    <definedName name="무식">[0]!무식</definedName>
    <definedName name="물랴자" hidden="1">{#N/A,#N/A,TRUE,"Y생산";#N/A,#N/A,TRUE,"Y판매";#N/A,#N/A,TRUE,"Y총물량";#N/A,#N/A,TRUE,"Y능력";#N/A,#N/A,TRUE,"YKD"}</definedName>
    <definedName name="물량" hidden="1">{#N/A,#N/A,FALSE,"단축1";#N/A,#N/A,FALSE,"단축2";#N/A,#N/A,FALSE,"단축3";#N/A,#N/A,FALSE,"장축";#N/A,#N/A,FALSE,"4WD"}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수" hidden="1">{#N/A,#N/A,TRUE,"Y생산";#N/A,#N/A,TRUE,"Y판매";#N/A,#N/A,TRUE,"Y총물량";#N/A,#N/A,TRUE,"Y능력";#N/A,#N/A,TRUE,"YKD"}</definedName>
    <definedName name="믹믹">[0]!믹믹</definedName>
    <definedName name="ㅂㅂ" hidden="1">{#N/A,#N/A,TRUE,"Y생산";#N/A,#N/A,TRUE,"Y판매";#N/A,#N/A,TRUE,"Y총물량";#N/A,#N/A,TRUE,"Y능력";#N/A,#N/A,TRUE,"YKD"}</definedName>
    <definedName name="ㅂㅂㅂ">[0]!ㅂㅂㅂ</definedName>
    <definedName name="ㅂㅂㅂㅂㅂㅂㅂㅂㅂㅂㅂㅂㅂㅂㅂㅂㅂㅂㅂㅂㅂㅂㅂㅂㅂㅂㅂㅂㅂㅂㅂㅂ" hidden="1">{#N/A,#N/A,FALSE,"단축1";#N/A,#N/A,FALSE,"단축2";#N/A,#N/A,FALSE,"단축3";#N/A,#N/A,FALSE,"장축";#N/A,#N/A,FALSE,"4WD"}</definedName>
    <definedName name="바바라" hidden="1">{#N/A,#N/A,TRUE,"Y생산";#N/A,#N/A,TRUE,"Y판매";#N/A,#N/A,TRUE,"Y총물량";#N/A,#N/A,TRUE,"Y능력";#N/A,#N/A,TRUE,"YKD"}</definedName>
    <definedName name="바보" hidden="1">#REF!</definedName>
    <definedName name="박상현" hidden="1">{#N/A,#N/A,FALSE,"단축1";#N/A,#N/A,FALSE,"단축2";#N/A,#N/A,FALSE,"단축3";#N/A,#N/A,FALSE,"장축";#N/A,#N/A,FALSE,"4WD"}</definedName>
    <definedName name="백만">1000000</definedName>
    <definedName name="베타"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동재료비2" hidden="1">{#N/A,#N/A,FALSE,"단축1";#N/A,#N/A,FALSE,"단축2";#N/A,#N/A,FALSE,"단축3";#N/A,#N/A,FALSE,"장축";#N/A,#N/A,FALSE,"4WD"}</definedName>
    <definedName name="별도">[0]!별도</definedName>
    <definedName name="보고1" hidden="1">{#N/A,#N/A,FALSE,"단축1";#N/A,#N/A,FALSE,"단축2";#N/A,#N/A,FALSE,"단축3";#N/A,#N/A,FALSE,"장축";#N/A,#N/A,FALSE,"4WD"}</definedName>
    <definedName name="보고2">[7]MH_생산!#REF!</definedName>
    <definedName name="보고서다">[0]!보고서다</definedName>
    <definedName name="분" hidden="1">{#N/A,#N/A,FALSE,"단축1";#N/A,#N/A,FALSE,"단축2";#N/A,#N/A,FALSE,"단축3";#N/A,#N/A,FALSE,"장축";#N/A,#N/A,FALSE,"4WD"}</definedName>
    <definedName name="분기별" hidden="1">{#N/A,#N/A,TRUE,"Y생산";#N/A,#N/A,TRUE,"Y판매";#N/A,#N/A,TRUE,"Y총물량";#N/A,#N/A,TRUE,"Y능력";#N/A,#N/A,TRUE,"YKD"}</definedName>
    <definedName name="빈" hidden="1">{#N/A,#N/A,FALSE,"단축1";#N/A,#N/A,FALSE,"단축2";#N/A,#N/A,FALSE,"단축3";#N/A,#N/A,FALSE,"장축";#N/A,#N/A,FALSE,"4WD"}</definedName>
    <definedName name="ㅅ" hidden="1">{#N/A,#N/A,TRUE,"Y생산";#N/A,#N/A,TRUE,"Y판매";#N/A,#N/A,TRUE,"Y총물량";#N/A,#N/A,TRUE,"Y능력";#N/A,#N/A,TRUE,"YKD"}</definedName>
    <definedName name="ㅅㅅ" hidden="1">{#N/A,#N/A,FALSE,"단축1";#N/A,#N/A,FALSE,"단축2";#N/A,#N/A,FALSE,"단축3";#N/A,#N/A,FALSE,"장축";#N/A,#N/A,FALSE,"4WD"}</definedName>
    <definedName name="사랑" hidden="1">{#N/A,#N/A,FALSE,"단축1";#N/A,#N/A,FALSE,"단축2";#N/A,#N/A,FALSE,"단축3";#N/A,#N/A,FALSE,"장축";#N/A,#N/A,FALSE,"4WD"}</definedName>
    <definedName name="사양변경내역서">[0]!사양변경내역서</definedName>
    <definedName name="삼식이">[0]!삼식이</definedName>
    <definedName name="상품성1" hidden="1">{#N/A,#N/A,FALSE,"단축1";#N/A,#N/A,FALSE,"단축2";#N/A,#N/A,FALSE,"단축3";#N/A,#N/A,FALSE,"장축";#N/A,#N/A,FALSE,"4WD"}</definedName>
    <definedName name="상품성보고" hidden="1">#REF!</definedName>
    <definedName name="새로운" hidden="1">{#N/A,#N/A,FALSE,"단축1";#N/A,#N/A,FALSE,"단축2";#N/A,#N/A,FALSE,"단축3";#N/A,#N/A,FALSE,"장축";#N/A,#N/A,FALSE,"4WD"}</definedName>
    <definedName name="새시">[0]!새시</definedName>
    <definedName name="생산TON" hidden="1">{#N/A,#N/A,TRUE,"Y생산";#N/A,#N/A,TRUE,"Y판매";#N/A,#N/A,TRUE,"Y총물량";#N/A,#N/A,TRUE,"Y능력";#N/A,#N/A,TRUE,"YKD"}</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샤시M">[0]!샤시M</definedName>
    <definedName name="샤시MD일">[0]!샤시MD일</definedName>
    <definedName name="석빈" hidden="1">{#N/A,#N/A,FALSE,"단축1";#N/A,#N/A,FALSE,"단축2";#N/A,#N/A,FALSE,"단축3";#N/A,#N/A,FALSE,"장축";#N/A,#N/A,FALSE,"4WD"}</definedName>
    <definedName name="선항영">[0]!선항영</definedName>
    <definedName name="설비">[0]!설비</definedName>
    <definedName name="설설" hidden="1">{#N/A,#N/A,FALSE,"단축1";#N/A,#N/A,FALSE,"단축2";#N/A,#N/A,FALSE,"단축3";#N/A,#N/A,FALSE,"장축";#N/A,#N/A,FALSE,"4WD"}</definedName>
    <definedName name="성능시험2" hidden="1">{#N/A,#N/A,FALSE,"단축1";#N/A,#N/A,FALSE,"단축2";#N/A,#N/A,FALSE,"단축3";#N/A,#N/A,FALSE,"장축";#N/A,#N/A,FALSE,"4WD"}</definedName>
    <definedName name="세부" hidden="1">{#N/A,#N/A,FALSE,"단축1";#N/A,#N/A,FALSE,"단축2";#N/A,#N/A,FALSE,"단축3";#N/A,#N/A,FALSE,"장축";#N/A,#N/A,FALSE,"4WD"}</definedName>
    <definedName name="세부내역2" hidden="1">{#N/A,#N/A,FALSE,"단축1";#N/A,#N/A,FALSE,"단축2";#N/A,#N/A,FALSE,"단축3";#N/A,#N/A,FALSE,"장축";#N/A,#N/A,FALSE,"4WD"}</definedName>
    <definedName name="셀리카" hidden="1">#REF!</definedName>
    <definedName name="소하프로젝트"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쇼쇼쇼쇼쇼쇼쇼쇼쇼쇼" hidden="1">{#N/A,#N/A,FALSE,"단축1";#N/A,#N/A,FALSE,"단축2";#N/A,#N/A,FALSE,"단축3";#N/A,#N/A,FALSE,"장축";#N/A,#N/A,FALSE,"4WD"}</definedName>
    <definedName name="수정GH" hidden="1">{#N/A,#N/A,TRUE,"Y생산";#N/A,#N/A,TRUE,"Y판매";#N/A,#N/A,TRUE,"Y총물량";#N/A,#N/A,TRUE,"Y능력";#N/A,#N/A,TRUE,"YKD"}</definedName>
    <definedName name="수정물량" hidden="1">{#N/A,#N/A,TRUE,"Y생산";#N/A,#N/A,TRUE,"Y판매";#N/A,#N/A,TRUE,"Y총물량";#N/A,#N/A,TRUE,"Y능력";#N/A,#N/A,TRUE,"YKD"}</definedName>
    <definedName name="시간" hidden="1">{#N/A,#N/A,TRUE,"Y생산";#N/A,#N/A,TRUE,"Y판매";#N/A,#N/A,TRUE,"Y총물량";#N/A,#N/A,TRUE,"Y능력";#N/A,#N/A,TRUE,"YKD"}</definedName>
    <definedName name="시트" hidden="1">{#N/A,#N/A,FALSE,"단축1";#N/A,#N/A,FALSE,"단축2";#N/A,#N/A,FALSE,"단축3";#N/A,#N/A,FALSE,"장축";#N/A,#N/A,FALSE,"4WD"}</definedName>
    <definedName name="신뢰">[0]!신뢰</definedName>
    <definedName name="신뢰성">[0]!신뢰성</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적집계" hidden="1">{#N/A,#N/A,FALSE,"단축1";#N/A,#N/A,FALSE,"단축2";#N/A,#N/A,FALSE,"단축3";#N/A,#N/A,FALSE,"장축";#N/A,#N/A,FALSE,"4WD"}</definedName>
    <definedName name="ㅇㄴㄹ" hidden="1">{#N/A,#N/A,FALSE,"단축1";#N/A,#N/A,FALSE,"단축2";#N/A,#N/A,FALSE,"단축3";#N/A,#N/A,FALSE,"장축";#N/A,#N/A,FALSE,"4WD"}</definedName>
    <definedName name="ㅇㄴㅀㅇ" hidden="1">{#N/A,#N/A,FALSE,"단축1";#N/A,#N/A,FALSE,"단축2";#N/A,#N/A,FALSE,"단축3";#N/A,#N/A,FALSE,"장축";#N/A,#N/A,FALSE,"4WD"}</definedName>
    <definedName name="ㅇㄹ" hidden="1">#REF!</definedName>
    <definedName name="ㅇㄹㅇㄹㅇㄹ">[0]!ㅇㄹㅇㄹㅇㄹ</definedName>
    <definedName name="ㅇㅁㄴㅇ" hidden="1">{#N/A,#N/A,FALSE,"단축1";#N/A,#N/A,FALSE,"단축2";#N/A,#N/A,FALSE,"단축3";#N/A,#N/A,FALSE,"장축";#N/A,#N/A,FALSE,"4WD"}</definedName>
    <definedName name="ㅇㅇ" hidden="1">{#N/A,#N/A,TRUE,"Y생산";#N/A,#N/A,TRUE,"Y판매";#N/A,#N/A,TRUE,"Y총물량";#N/A,#N/A,TRUE,"Y능력";#N/A,#N/A,TRUE,"YKD"}</definedName>
    <definedName name="ㅇㅇㅇㅇ" hidden="1">{#N/A,#N/A,FALSE,"단축1";#N/A,#N/A,FALSE,"단축2";#N/A,#N/A,FALSE,"단축3";#N/A,#N/A,FALSE,"장축";#N/A,#N/A,FALSE,"4WD"}</definedName>
    <definedName name="ㅇㅎ오" hidden="1">{#N/A,#N/A,FALSE,"단축1";#N/A,#N/A,FALSE,"단축2";#N/A,#N/A,FALSE,"단축3";#N/A,#N/A,FALSE,"장축";#N/A,#N/A,FALSE,"4WD"}</definedName>
    <definedName name="안현모"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에이" hidden="1">{#N/A,#N/A,TRUE,"Y생산";#N/A,#N/A,TRUE,"Y판매";#N/A,#N/A,TRUE,"Y총물량";#N/A,#N/A,TRUE,"Y능력";#N/A,#N/A,TRUE,"YKD"}</definedName>
    <definedName name="엔진" hidden="1">{#N/A,#N/A,FALSE,"단축1";#N/A,#N/A,FALSE,"단축2";#N/A,#N/A,FALSE,"단축3";#N/A,#N/A,FALSE,"장축";#N/A,#N/A,FALSE,"4WD"}</definedName>
    <definedName name="연도추정내수" hidden="1">{#N/A,#N/A,FALSE,"단축1";#N/A,#N/A,FALSE,"단축2";#N/A,#N/A,FALSE,"단축3";#N/A,#N/A,FALSE,"장축";#N/A,#N/A,FALSE,"4WD"}</definedName>
    <definedName name="연도추정유럽" hidden="1">{#N/A,#N/A,TRUE,"Y생산";#N/A,#N/A,TRUE,"Y판매";#N/A,#N/A,TRUE,"Y총물량";#N/A,#N/A,TRUE,"Y능력";#N/A,#N/A,TRUE,"YKD"}</definedName>
    <definedName name="연도추정일반" hidden="1">{#N/A,#N/A,FALSE,"단축1";#N/A,#N/A,FALSE,"단축2";#N/A,#N/A,FALSE,"단축3";#N/A,#N/A,FALSE,"장축";#N/A,#N/A,FALSE,"4WD"}</definedName>
    <definedName name="연료펌프" hidden="1">#REF!</definedName>
    <definedName name="예산"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외"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원">1</definedName>
    <definedName name="월별정리">[0]!월별정리</definedName>
    <definedName name="유럽" hidden="1">{#N/A,#N/A,FALSE,"단축1";#N/A,#N/A,FALSE,"단축2";#N/A,#N/A,FALSE,"단축3";#N/A,#N/A,FALSE,"장축";#N/A,#N/A,FALSE,"4WD"}</definedName>
    <definedName name="의장현황">[0]!의장현황</definedName>
    <definedName name="이근" hidden="1">{#N/A,#N/A,FALSE,"단축1";#N/A,#N/A,FALSE,"단축2";#N/A,#N/A,FALSE,"단축3";#N/A,#N/A,FALSE,"장축";#N/A,#N/A,FALSE,"4WD"}</definedName>
    <definedName name="이근한" hidden="1">{#N/A,#N/A,FALSE,"단축1";#N/A,#N/A,FALSE,"단축2";#N/A,#N/A,FALSE,"단축3";#N/A,#N/A,FALSE,"장축";#N/A,#N/A,FALSE,"4WD"}</definedName>
    <definedName name="이릉" hidden="1">{#N/A,#N/A,FALSE,"단축1";#N/A,#N/A,FALSE,"단축2";#N/A,#N/A,FALSE,"단축3";#N/A,#N/A,FALSE,"장축";#N/A,#N/A,FALSE,"4WD"}</definedName>
    <definedName name="인계획" hidden="1">{#N/A,#N/A,TRUE,"Y생산";#N/A,#N/A,TRUE,"Y판매";#N/A,#N/A,TRUE,"Y총물량";#N/A,#N/A,TRUE,"Y능력";#N/A,#N/A,TRUE,"YKD"}</definedName>
    <definedName name="일이ㅏㄹ" hidden="1">{#N/A,#N/A,FALSE,"단축1";#N/A,#N/A,FALSE,"단축2";#N/A,#N/A,FALSE,"단축3";#N/A,#N/A,FALSE,"장축";#N/A,#N/A,FALSE,"4WD"}</definedName>
    <definedName name="일자별" hidden="1">{#N/A,#N/A,TRUE,"Y생산";#N/A,#N/A,TRUE,"Y판매";#N/A,#N/A,TRUE,"Y총물량";#N/A,#N/A,TRUE,"Y능력";#N/A,#N/A,TRUE,"YKD"}</definedName>
    <definedName name="임" hidden="1">{#N/A,#N/A,FALSE,"단축1";#N/A,#N/A,FALSE,"단축2";#N/A,#N/A,FALSE,"단축3";#N/A,#N/A,FALSE,"장축";#N/A,#N/A,FALSE,"4WD"}</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ㅈ" hidden="1">{#N/A,#N/A,FALSE,"을지 (4)";#N/A,#N/A,FALSE,"을지 (5)";#N/A,#N/A,FALSE,"을지 (6)"}</definedName>
    <definedName name="자잦" hidden="1">{#N/A,#N/A,FALSE,"단축1";#N/A,#N/A,FALSE,"단축2";#N/A,#N/A,FALSE,"단축3";#N/A,#N/A,FALSE,"장축";#N/A,#N/A,FALSE,"4WD"}</definedName>
    <definedName name="자재기준" hidden="1">{#N/A,#N/A,TRUE,"Y생산";#N/A,#N/A,TRUE,"Y판매";#N/A,#N/A,TRUE,"Y총물량";#N/A,#N/A,TRUE,"Y능력";#N/A,#N/A,TRUE,"YKD"}</definedName>
    <definedName name="재털이">[0]!재털이</definedName>
    <definedName name="전장" hidden="1">{#N/A,#N/A,FALSE,"단축1";#N/A,#N/A,FALSE,"단축2";#N/A,#N/A,FALSE,"단축3";#N/A,#N/A,FALSE,"장축";#N/A,#N/A,FALSE,"4WD"}</definedName>
    <definedName name="전장1" hidden="1">{#N/A,#N/A,FALSE,"단축1";#N/A,#N/A,FALSE,"단축2";#N/A,#N/A,FALSE,"단축3";#N/A,#N/A,FALSE,"장축";#N/A,#N/A,FALSE,"4WD"}</definedName>
    <definedName name="전체현황" hidden="1">{#N/A,#N/A,FALSE,"단축1";#N/A,#N/A,FALSE,"단축2";#N/A,#N/A,FALSE,"단축3";#N/A,#N/A,FALSE,"장축";#N/A,#N/A,FALSE,"4WD"}</definedName>
    <definedName name="전체현황1">[0]!전체현황1</definedName>
    <definedName name="접대비">[0]!접대비</definedName>
    <definedName name="정비대수" hidden="1">{#N/A,#N/A,FALSE,"인원";#N/A,#N/A,FALSE,"비용2";#N/A,#N/A,FALSE,"비용1";#N/A,#N/A,FALSE,"비용";#N/A,#N/A,FALSE,"보증2";#N/A,#N/A,FALSE,"보증1";#N/A,#N/A,FALSE,"보증";#N/A,#N/A,FALSE,"손익1";#N/A,#N/A,FALSE,"손익";#N/A,#N/A,FALSE,"부서별매출";#N/A,#N/A,FALSE,"매출"}</definedName>
    <definedName name="정수용" hidden="1">{#N/A,#N/A,TRUE,"Y생산";#N/A,#N/A,TRUE,"Y판매";#N/A,#N/A,TRUE,"Y총물량";#N/A,#N/A,TRUE,"Y능력";#N/A,#N/A,TRUE,"YKD"}</definedName>
    <definedName name="정종구">[0]!정종구</definedName>
    <definedName name="젖" hidden="1">{#N/A,#N/A,FALSE,"단축1";#N/A,#N/A,FALSE,"단축2";#N/A,#N/A,FALSE,"단축3";#N/A,#N/A,FALSE,"장축";#N/A,#N/A,FALSE,"4WD"}</definedName>
    <definedName name="좋합" hidden="1">{#N/A,#N/A,FALSE,"단축1";#N/A,#N/A,FALSE,"단축2";#N/A,#N/A,FALSE,"단축3";#N/A,#N/A,FALSE,"장축";#N/A,#N/A,FALSE,"4WD"}</definedName>
    <definedName name="주"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중앙" hidden="1">{#N/A,#N/A,FALSE,"단축1";#N/A,#N/A,FALSE,"단축2";#N/A,#N/A,FALSE,"단축3";#N/A,#N/A,FALSE,"장축";#N/A,#N/A,FALSE,"4WD"}</definedName>
    <definedName name="지그">[0]!지그</definedName>
    <definedName name="차차">[0]!차차</definedName>
    <definedName name="차체" hidden="1">{#N/A,#N/A,FALSE,"단축1";#N/A,#N/A,FALSE,"단축2";#N/A,#N/A,FALSE,"단축3";#N/A,#N/A,FALSE,"장축";#N/A,#N/A,FALSE,"4WD"}</definedName>
    <definedName name="참고" hidden="1">{#N/A,#N/A,FALSE,"단축1";#N/A,#N/A,FALSE,"단축2";#N/A,#N/A,FALSE,"단축3";#N/A,#N/A,FALSE,"장축";#N/A,#N/A,FALSE,"4WD"}</definedName>
    <definedName name="참고1" hidden="1">{#N/A,#N/A,FALSE,"단축1";#N/A,#N/A,FALSE,"단축2";#N/A,#N/A,FALSE,"단축3";#N/A,#N/A,FALSE,"장축";#N/A,#N/A,FALSE,"4WD"}</definedName>
    <definedName name="총무3" hidden="1">{#N/A,#N/A,FALSE,"단축1";#N/A,#N/A,FALSE,"단축2";#N/A,#N/A,FALSE,"단축3";#N/A,#N/A,FALSE,"장축";#N/A,#N/A,FALSE,"4WD"}</definedName>
    <definedName name="쵸쵸">[0]!쵸쵸</definedName>
    <definedName name="추진과제" hidden="1">{#N/A,#N/A,FALSE,"단축1";#N/A,#N/A,FALSE,"단축2";#N/A,#N/A,FALSE,"단축3";#N/A,#N/A,FALSE,"장축";#N/A,#N/A,FALSE,"4WD"}</definedName>
    <definedName name="추추">[0]!추추</definedName>
    <definedName name="츄츄">[0]!츄츄</definedName>
    <definedName name="츠츠">[0]!츠츠</definedName>
    <definedName name="ㅋㅋ" hidden="1">{#N/A,#N/A,TRUE,"Y생산";#N/A,#N/A,TRUE,"Y판매";#N/A,#N/A,TRUE,"Y총물량";#N/A,#N/A,TRUE,"Y능력";#N/A,#N/A,TRUE,"YKD"}</definedName>
    <definedName name="카니발연료누유" hidden="1">[4]CAUDIT!#REF!</definedName>
    <definedName name="카메라2" hidden="1">{#N/A,#N/A,FALSE,"단축1";#N/A,#N/A,FALSE,"단축2";#N/A,#N/A,FALSE,"단축3";#N/A,#N/A,FALSE,"장축";#N/A,#N/A,FALSE,"4WD"}</definedName>
    <definedName name="쿠페" hidden="1">{#N/A,#N/A,FALSE,"을지 (4)";#N/A,#N/A,FALSE,"을지 (5)";#N/A,#N/A,FALSE,"을지 (6)"}</definedName>
    <definedName name="키프코" hidden="1">{#N/A,#N/A,FALSE,"을지 (4)";#N/A,#N/A,FALSE,"을지 (5)";#N/A,#N/A,FALSE,"을지 (6)"}</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ㅍ" hidden="1">{#N/A,#N/A,FALSE,"단축1";#N/A,#N/A,FALSE,"단축2";#N/A,#N/A,FALSE,"단축3";#N/A,#N/A,FALSE,"장축";#N/A,#N/A,FALSE,"4WD"}</definedName>
    <definedName name="ㅍㅍ"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펴펴">[0]!펴펴</definedName>
    <definedName name="포포">[0]!포포</definedName>
    <definedName name="표지_PTN" hidden="1">{#N/A,#N/A,TRUE,"Y생산";#N/A,#N/A,TRUE,"Y판매";#N/A,#N/A,TRUE,"Y총물량";#N/A,#N/A,TRUE,"Y능력";#N/A,#N/A,TRUE,"YKD"}</definedName>
    <definedName name="표지1" hidden="1">#REF!</definedName>
    <definedName name="표표">[0]!표표</definedName>
    <definedName name="푸푸">[0]!푸푸</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퓨퓨">[0]!퓨퓨</definedName>
    <definedName name="프레스" hidden="1">{#N/A,#N/A,FALSE,"단축1";#N/A,#N/A,FALSE,"단축2";#N/A,#N/A,FALSE,"단축3";#N/A,#N/A,FALSE,"장축";#N/A,#N/A,FALSE,"4WD"}</definedName>
    <definedName name="프레지오" hidden="1">{#N/A,#N/A,FALSE,"단축1";#N/A,#N/A,FALSE,"단축2";#N/A,#N/A,FALSE,"단축3";#N/A,#N/A,FALSE,"장축";#N/A,#N/A,FALSE,"4WD"}</definedName>
    <definedName name="ㅎ">[0]!ㅎ</definedName>
    <definedName name="ㅎㄴ" hidden="1">{#N/A,#N/A,FALSE,"단축1";#N/A,#N/A,FALSE,"단축2";#N/A,#N/A,FALSE,"단축3";#N/A,#N/A,FALSE,"장축";#N/A,#N/A,FALSE,"4WD"}</definedName>
    <definedName name="ㅎㄻ" hidden="1">#REF!</definedName>
    <definedName name="하하">[0]!하하</definedName>
    <definedName name="한"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항" hidden="1">{#N/A,#N/A,FALSE,"단축1";#N/A,#N/A,FALSE,"단축2";#N/A,#N/A,FALSE,"단축3";#N/A,#N/A,FALSE,"장축";#N/A,#N/A,FALSE,"4WD"}</definedName>
    <definedName name="행복" hidden="1">{#N/A,#N/A,FALSE,"단축1";#N/A,#N/A,FALSE,"단축2";#N/A,#N/A,FALSE,"단축3";#N/A,#N/A,FALSE,"장축";#N/A,#N/A,FALSE,"4WD"}</definedName>
    <definedName name="향후계획1" hidden="1">{#N/A,#N/A,FALSE,"단축1";#N/A,#N/A,FALSE,"단축2";#N/A,#N/A,FALSE,"단축3";#N/A,#N/A,FALSE,"장축";#N/A,#N/A,FALSE,"4WD"}</definedName>
    <definedName name="혀혀">[0]!혀혀</definedName>
    <definedName name="현현">[0]!현현</definedName>
    <definedName name="현황">[0]!현황</definedName>
    <definedName name="혈혈">[0]!혈혈</definedName>
    <definedName name="혐혐">[0]!혐혐</definedName>
    <definedName name="형">[0]!형</definedName>
    <definedName name="홍" hidden="1">{#N/A,#N/A,FALSE,"96 3월물량표";#N/A,#N/A,FALSE,"96 4월물량표";#N/A,#N/A,FALSE,"96 5월물량표"}</definedName>
    <definedName name="회계잔액" hidden="1">#REF!</definedName>
    <definedName name="후드락">[0]!후드락</definedName>
    <definedName name="후후">[0]!후후</definedName>
    <definedName name="히히">[0]!히히</definedName>
    <definedName name="ㅏ" hidden="1">{#N/A,#N/A,FALSE,"단축1";#N/A,#N/A,FALSE,"단축2";#N/A,#N/A,FALSE,"단축3";#N/A,#N/A,FALSE,"장축";#N/A,#N/A,FALSE,"4WD"}</definedName>
    <definedName name="ㅏㅏㅏ" hidden="1">{#N/A,#N/A,TRUE,"Y생산";#N/A,#N/A,TRUE,"Y판매";#N/A,#N/A,TRUE,"Y총물량";#N/A,#N/A,TRUE,"Y능력";#N/A,#N/A,TRUE,"YKD"}</definedName>
    <definedName name="ㅏㅏㅏㅏㅏ">[0]!ㅏㅏㅏㅏㅏ</definedName>
    <definedName name="ㅐㅐ" hidden="1">{#N/A,#N/A,FALSE,"을지 (4)";#N/A,#N/A,FALSE,"을지 (5)";#N/A,#N/A,FALSE,"을지 (6)"}</definedName>
    <definedName name="ㅑ" hidden="1">{#N/A,#N/A,FALSE,"단축1";#N/A,#N/A,FALSE,"단축2";#N/A,#N/A,FALSE,"단축3";#N/A,#N/A,FALSE,"장축";#N/A,#N/A,FALSE,"4WD"}</definedName>
    <definedName name="ㅑㅑㅑ" hidden="1">{#N/A,#N/A,FALSE,"초도품";#N/A,#N/A,FALSE,"초도품 (2)";#N/A,#N/A,FALSE,"초도품 (3)";#N/A,#N/A,FALSE,"초도품 (4)";#N/A,#N/A,FALSE,"초도품 (5)";#N/A,#N/A,FALSE,"초도품 (6)"}</definedName>
    <definedName name="ㅑㅣㅐㅍ" hidden="1">{#N/A,#N/A,FALSE,"단축1";#N/A,#N/A,FALSE,"단축2";#N/A,#N/A,FALSE,"단축3";#N/A,#N/A,FALSE,"장축";#N/A,#N/A,FALSE,"4WD"}</definedName>
    <definedName name="ㅓ" hidden="1">{#N/A,#N/A,TRUE,"Y생산";#N/A,#N/A,TRUE,"Y판매";#N/A,#N/A,TRUE,"Y총물량";#N/A,#N/A,TRUE,"Y능력";#N/A,#N/A,TRUE,"YKD"}</definedName>
    <definedName name="ㅔ" hidden="1">{#N/A,#N/A,FALSE,"단축1";#N/A,#N/A,FALSE,"단축2";#N/A,#N/A,FALSE,"단축3";#N/A,#N/A,FALSE,"장축";#N/A,#N/A,FALSE,"4WD"}</definedName>
    <definedName name="ㅔㅔ" hidden="1">{#N/A,#N/A,FALSE,"초도품";#N/A,#N/A,FALSE,"초도품 (2)";#N/A,#N/A,FALSE,"초도품 (3)";#N/A,#N/A,FALSE,"초도품 (4)";#N/A,#N/A,FALSE,"초도품 (5)";#N/A,#N/A,FALSE,"초도품 (6)"}</definedName>
    <definedName name="ㅔㅔㅔ" hidden="1">#REF!</definedName>
    <definedName name="ㅕ" hidden="1">{#N/A,#N/A,FALSE,"단축1";#N/A,#N/A,FALSE,"단축2";#N/A,#N/A,FALSE,"단축3";#N/A,#N/A,FALSE,"장축";#N/A,#N/A,FALSE,"4WD"}</definedName>
    <definedName name="ㅕㅕㅕ" hidden="1">{#N/A,#N/A,FALSE,"을지 (4)";#N/A,#N/A,FALSE,"을지 (5)";#N/A,#N/A,FALSE,"을지 (6)"}</definedName>
    <definedName name="ㅗ" hidden="1">{#N/A,#N/A,FALSE,"단축1";#N/A,#N/A,FALSE,"단축2";#N/A,#N/A,FALSE,"단축3";#N/A,#N/A,FALSE,"장축";#N/A,#N/A,FALSE,"4WD"}</definedName>
    <definedName name="ㅗ돟ㄷ" hidden="1">{#N/A,#N/A,FALSE,"단축1";#N/A,#N/A,FALSE,"단축2";#N/A,#N/A,FALSE,"단축3";#N/A,#N/A,FALSE,"장축";#N/A,#N/A,FALSE,"4WD"}</definedName>
    <definedName name="ㅗㅁㅈ몸조"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ㅜ" hidden="1">{#N/A,#N/A,FALSE,"단축1";#N/A,#N/A,FALSE,"단축2";#N/A,#N/A,FALSE,"단축3";#N/A,#N/A,FALSE,"장축";#N/A,#N/A,FALSE,"4WD"}</definedName>
    <definedName name="ㅡ" hidden="1">{#N/A,#N/A,FALSE,"단축1";#N/A,#N/A,FALSE,"단축2";#N/A,#N/A,FALSE,"단축3";#N/A,#N/A,FALSE,"장축";#N/A,#N/A,FALSE,"4WD"}</definedName>
    <definedName name="ㅡㅇ">[0]!ㅡㅇ</definedName>
    <definedName name="ㅡㅗ">[0]!ㅡㅗ</definedName>
    <definedName name="ㅡㅡㅡ" hidden="1">#REF!</definedName>
    <definedName name="ㅣ" hidden="1">#REF!</definedName>
    <definedName name="ㅣㅣ">[0]!ㅣㅣ</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11" l="1"/>
  <c r="J28" i="11"/>
  <c r="J21" i="11"/>
  <c r="J20" i="11"/>
  <c r="J7" i="11"/>
  <c r="J6" i="11"/>
  <c r="J5" i="11"/>
  <c r="J4" i="11"/>
  <c r="O26" i="10"/>
  <c r="N26" i="10"/>
  <c r="M26" i="10"/>
  <c r="K26" i="10"/>
  <c r="J26" i="10"/>
  <c r="H26" i="10"/>
  <c r="G26" i="10"/>
  <c r="F26" i="10"/>
  <c r="E26" i="10"/>
  <c r="C26" i="10"/>
  <c r="O25" i="10"/>
  <c r="N25" i="10"/>
  <c r="M25" i="10"/>
  <c r="K25" i="10"/>
  <c r="J25" i="10"/>
  <c r="H25" i="10"/>
  <c r="G25" i="10"/>
  <c r="F25" i="10"/>
  <c r="E25" i="10"/>
  <c r="C25" i="10"/>
  <c r="O24" i="10"/>
  <c r="N24" i="10"/>
  <c r="M24" i="10"/>
  <c r="K24" i="10"/>
  <c r="J24" i="10"/>
  <c r="H24" i="10"/>
  <c r="G24" i="10"/>
  <c r="F24" i="10"/>
  <c r="E24" i="10"/>
  <c r="C24" i="10"/>
  <c r="O23" i="10"/>
  <c r="N23" i="10"/>
  <c r="M23" i="10"/>
  <c r="K23" i="10"/>
  <c r="J23" i="10"/>
  <c r="H23" i="10"/>
  <c r="G23" i="10"/>
  <c r="F23" i="10"/>
  <c r="E23" i="10"/>
  <c r="C23" i="10"/>
  <c r="O22" i="10"/>
  <c r="N22" i="10"/>
  <c r="M22" i="10"/>
  <c r="K22" i="10"/>
  <c r="J22" i="10"/>
  <c r="H22" i="10"/>
  <c r="G22" i="10"/>
  <c r="F22" i="10"/>
  <c r="E22" i="10"/>
  <c r="C22" i="10"/>
  <c r="O21" i="10"/>
  <c r="N21" i="10"/>
  <c r="M21" i="10"/>
  <c r="K21" i="10"/>
  <c r="J21" i="10"/>
  <c r="H21" i="10"/>
  <c r="G21" i="10"/>
  <c r="F21" i="10"/>
  <c r="E21" i="10"/>
  <c r="C21" i="10"/>
  <c r="O20" i="10"/>
  <c r="N20" i="10"/>
  <c r="M20" i="10"/>
  <c r="K20" i="10"/>
  <c r="J20" i="10"/>
  <c r="H20" i="10"/>
  <c r="G20" i="10"/>
  <c r="F20" i="10"/>
  <c r="E20" i="10"/>
  <c r="C20" i="10"/>
  <c r="O19" i="10"/>
  <c r="N19" i="10"/>
  <c r="M19" i="10"/>
  <c r="K19" i="10"/>
  <c r="J19" i="10"/>
  <c r="H19" i="10"/>
  <c r="G19" i="10"/>
  <c r="F19" i="10"/>
  <c r="E19" i="10"/>
  <c r="C19" i="10"/>
  <c r="O18" i="10"/>
  <c r="N18" i="10"/>
  <c r="M18" i="10"/>
  <c r="K18" i="10"/>
  <c r="J18" i="10"/>
  <c r="H18" i="10"/>
  <c r="G18" i="10"/>
  <c r="F18" i="10"/>
  <c r="E18" i="10"/>
  <c r="C18" i="10"/>
  <c r="O17" i="10"/>
  <c r="N17" i="10"/>
  <c r="M17" i="10"/>
  <c r="K17" i="10"/>
  <c r="J17" i="10"/>
  <c r="H17" i="10"/>
  <c r="G17" i="10"/>
  <c r="F17" i="10"/>
  <c r="E17" i="10"/>
  <c r="C17" i="10"/>
  <c r="O16" i="10"/>
  <c r="N16" i="10"/>
  <c r="M16" i="10"/>
  <c r="K16" i="10"/>
  <c r="J16" i="10"/>
  <c r="H16" i="10"/>
  <c r="G16" i="10"/>
  <c r="F16" i="10"/>
  <c r="E16" i="10"/>
  <c r="C16" i="10"/>
  <c r="O15" i="10"/>
  <c r="N15" i="10"/>
  <c r="M15" i="10"/>
  <c r="K15" i="10"/>
  <c r="J15" i="10"/>
  <c r="H15" i="10"/>
  <c r="G15" i="10"/>
  <c r="F15" i="10"/>
  <c r="E15" i="10"/>
  <c r="C15" i="10"/>
  <c r="O14" i="10"/>
  <c r="N14" i="10"/>
  <c r="M14" i="10"/>
  <c r="K14" i="10"/>
  <c r="J14" i="10"/>
  <c r="H14" i="10"/>
  <c r="G14" i="10"/>
  <c r="F14" i="10"/>
  <c r="E14" i="10"/>
  <c r="C14" i="10"/>
  <c r="O13" i="10"/>
  <c r="N13" i="10"/>
  <c r="M13" i="10"/>
  <c r="K13" i="10"/>
  <c r="J13" i="10"/>
  <c r="H13" i="10"/>
  <c r="G13" i="10"/>
  <c r="F13" i="10"/>
  <c r="E13" i="10"/>
  <c r="C13" i="10"/>
  <c r="O12" i="10"/>
  <c r="N12" i="10"/>
  <c r="M12" i="10"/>
  <c r="K12" i="10"/>
  <c r="J12" i="10"/>
  <c r="H12" i="10"/>
  <c r="G12" i="10"/>
  <c r="F12" i="10"/>
  <c r="E12" i="10"/>
  <c r="C12" i="10"/>
  <c r="O11" i="10"/>
  <c r="N11" i="10"/>
  <c r="M11" i="10"/>
  <c r="K11" i="10"/>
  <c r="J11" i="10"/>
  <c r="H11" i="10"/>
  <c r="G11" i="10"/>
  <c r="F11" i="10"/>
  <c r="E11" i="10"/>
  <c r="C11" i="10"/>
  <c r="O37" i="9"/>
  <c r="N37" i="9"/>
  <c r="M37" i="9"/>
  <c r="K37" i="9"/>
  <c r="J37" i="9"/>
  <c r="H37" i="9"/>
  <c r="G37" i="9"/>
  <c r="F37" i="9"/>
  <c r="E37" i="9"/>
  <c r="C37" i="9"/>
  <c r="O36" i="9"/>
  <c r="N36" i="9"/>
  <c r="M36" i="9"/>
  <c r="K36" i="9"/>
  <c r="J36" i="9"/>
  <c r="H36" i="9"/>
  <c r="G36" i="9"/>
  <c r="F36" i="9"/>
  <c r="E36" i="9"/>
  <c r="C36" i="9"/>
  <c r="O35" i="9"/>
  <c r="N35" i="9"/>
  <c r="M35" i="9"/>
  <c r="K35" i="9"/>
  <c r="J35" i="9"/>
  <c r="H35" i="9"/>
  <c r="G35" i="9"/>
  <c r="F35" i="9"/>
  <c r="E35" i="9"/>
  <c r="C35" i="9"/>
  <c r="O34" i="9"/>
  <c r="N34" i="9"/>
  <c r="M34" i="9"/>
  <c r="K34" i="9"/>
  <c r="J34" i="9"/>
  <c r="H34" i="9"/>
  <c r="G34" i="9"/>
  <c r="F34" i="9"/>
  <c r="E34" i="9"/>
  <c r="C34" i="9"/>
  <c r="O33" i="9"/>
  <c r="N33" i="9"/>
  <c r="M33" i="9"/>
  <c r="K33" i="9"/>
  <c r="J33" i="9"/>
  <c r="H33" i="9"/>
  <c r="G33" i="9"/>
  <c r="F33" i="9"/>
  <c r="E33" i="9"/>
  <c r="C33" i="9"/>
  <c r="O32" i="9"/>
  <c r="N32" i="9"/>
  <c r="M32" i="9"/>
  <c r="K32" i="9"/>
  <c r="J32" i="9"/>
  <c r="H32" i="9"/>
  <c r="G32" i="9"/>
  <c r="F32" i="9"/>
  <c r="E32" i="9"/>
  <c r="C32" i="9"/>
  <c r="O31" i="9"/>
  <c r="N31" i="9"/>
  <c r="M31" i="9"/>
  <c r="K31" i="9"/>
  <c r="J31" i="9"/>
  <c r="H31" i="9"/>
  <c r="G31" i="9"/>
  <c r="F31" i="9"/>
  <c r="E31" i="9"/>
  <c r="C31" i="9"/>
  <c r="O30" i="9"/>
  <c r="N30" i="9"/>
  <c r="M30" i="9"/>
  <c r="K30" i="9"/>
  <c r="J30" i="9"/>
  <c r="H30" i="9"/>
  <c r="G30" i="9"/>
  <c r="F30" i="9"/>
  <c r="E30" i="9"/>
  <c r="C30" i="9"/>
  <c r="O29" i="9"/>
  <c r="N29" i="9"/>
  <c r="M29" i="9"/>
  <c r="K29" i="9"/>
  <c r="J29" i="9"/>
  <c r="H29" i="9"/>
  <c r="G29" i="9"/>
  <c r="F29" i="9"/>
  <c r="E29" i="9"/>
  <c r="C29" i="9"/>
  <c r="O28" i="9"/>
  <c r="N28" i="9"/>
  <c r="M28" i="9"/>
  <c r="K28" i="9"/>
  <c r="J28" i="9"/>
  <c r="H28" i="9"/>
  <c r="G28" i="9"/>
  <c r="F28" i="9"/>
  <c r="E28" i="9"/>
  <c r="C28" i="9"/>
  <c r="O27" i="9"/>
  <c r="N27" i="9"/>
  <c r="M27" i="9"/>
  <c r="K27" i="9"/>
  <c r="J27" i="9"/>
  <c r="H27" i="9"/>
  <c r="G27" i="9"/>
  <c r="F27" i="9"/>
  <c r="E27" i="9"/>
  <c r="C27" i="9"/>
  <c r="O26" i="9"/>
  <c r="N26" i="9"/>
  <c r="M26" i="9"/>
  <c r="K26" i="9"/>
  <c r="J26" i="9"/>
  <c r="H26" i="9"/>
  <c r="G26" i="9"/>
  <c r="F26" i="9"/>
  <c r="E26" i="9"/>
  <c r="C26" i="9"/>
  <c r="O25" i="9"/>
  <c r="N25" i="9"/>
  <c r="M25" i="9"/>
  <c r="K25" i="9"/>
  <c r="J25" i="9"/>
  <c r="H25" i="9"/>
  <c r="G25" i="9"/>
  <c r="F25" i="9"/>
  <c r="E25" i="9"/>
  <c r="C25" i="9"/>
  <c r="O24" i="9"/>
  <c r="N24" i="9"/>
  <c r="M24" i="9"/>
  <c r="K24" i="9"/>
  <c r="J24" i="9"/>
  <c r="H24" i="9"/>
  <c r="G24" i="9"/>
  <c r="F24" i="9"/>
  <c r="E24" i="9"/>
  <c r="C24" i="9"/>
  <c r="O23" i="9"/>
  <c r="N23" i="9"/>
  <c r="M23" i="9"/>
  <c r="K23" i="9"/>
  <c r="J23" i="9"/>
  <c r="H23" i="9"/>
  <c r="G23" i="9"/>
  <c r="F23" i="9"/>
  <c r="E23" i="9"/>
  <c r="C23" i="9"/>
  <c r="O22" i="9"/>
  <c r="N22" i="9"/>
  <c r="M22" i="9"/>
  <c r="K22" i="9"/>
  <c r="J22" i="9"/>
  <c r="H22" i="9"/>
  <c r="G22" i="9"/>
  <c r="F22" i="9"/>
  <c r="E22" i="9"/>
  <c r="C22" i="9"/>
  <c r="O21" i="9"/>
  <c r="N21" i="9"/>
  <c r="M21" i="9"/>
  <c r="K21" i="9"/>
  <c r="J21" i="9"/>
  <c r="H21" i="9"/>
  <c r="G21" i="9"/>
  <c r="F21" i="9"/>
  <c r="E21" i="9"/>
  <c r="C21" i="9"/>
  <c r="O20" i="9"/>
  <c r="N20" i="9"/>
  <c r="M20" i="9"/>
  <c r="K20" i="9"/>
  <c r="J20" i="9"/>
  <c r="H20" i="9"/>
  <c r="G20" i="9"/>
  <c r="F20" i="9"/>
  <c r="E20" i="9"/>
  <c r="C20" i="9"/>
  <c r="O19" i="9"/>
  <c r="N19" i="9"/>
  <c r="M19" i="9"/>
  <c r="K19" i="9"/>
  <c r="J19" i="9"/>
  <c r="H19" i="9"/>
  <c r="G19" i="9"/>
  <c r="F19" i="9"/>
  <c r="E19" i="9"/>
  <c r="C19" i="9"/>
  <c r="O18" i="9"/>
  <c r="N18" i="9"/>
  <c r="M18" i="9"/>
  <c r="K18" i="9"/>
  <c r="J18" i="9"/>
  <c r="H18" i="9"/>
  <c r="G18" i="9"/>
  <c r="F18" i="9"/>
  <c r="E18" i="9"/>
  <c r="C18" i="9"/>
  <c r="O17" i="9"/>
  <c r="N17" i="9"/>
  <c r="M17" i="9"/>
  <c r="K17" i="9"/>
  <c r="J17" i="9"/>
  <c r="H17" i="9"/>
  <c r="G17" i="9"/>
  <c r="F17" i="9"/>
  <c r="E17" i="9"/>
  <c r="C17" i="9"/>
  <c r="O16" i="9"/>
  <c r="N16" i="9"/>
  <c r="M16" i="9"/>
  <c r="K16" i="9"/>
  <c r="J16" i="9"/>
  <c r="H16" i="9"/>
  <c r="G16" i="9"/>
  <c r="F16" i="9"/>
  <c r="E16" i="9"/>
  <c r="C16" i="9"/>
  <c r="O15" i="9"/>
  <c r="N15" i="9"/>
  <c r="M15" i="9"/>
  <c r="K15" i="9"/>
  <c r="J15" i="9"/>
  <c r="H15" i="9"/>
  <c r="G15" i="9"/>
  <c r="F15" i="9"/>
  <c r="E15" i="9"/>
  <c r="C15" i="9"/>
  <c r="O14" i="9"/>
  <c r="N14" i="9"/>
  <c r="M14" i="9"/>
  <c r="K14" i="9"/>
  <c r="J14" i="9"/>
  <c r="H14" i="9"/>
  <c r="G14" i="9"/>
  <c r="F14" i="9"/>
  <c r="E14" i="9"/>
  <c r="C14" i="9"/>
  <c r="O13" i="9"/>
  <c r="N13" i="9"/>
  <c r="M13" i="9"/>
  <c r="K13" i="9"/>
  <c r="J13" i="9"/>
  <c r="H13" i="9"/>
  <c r="G13" i="9"/>
  <c r="F13" i="9"/>
  <c r="E13" i="9"/>
  <c r="C13" i="9"/>
  <c r="O12" i="9"/>
  <c r="N12" i="9"/>
  <c r="M12" i="9"/>
  <c r="K12" i="9"/>
  <c r="J12" i="9"/>
  <c r="H12" i="9"/>
  <c r="G12" i="9"/>
  <c r="F12" i="9"/>
  <c r="E12" i="9"/>
  <c r="C12" i="9"/>
  <c r="O11" i="9"/>
  <c r="N11" i="9"/>
  <c r="M11" i="9"/>
  <c r="K11" i="9"/>
  <c r="J11" i="9"/>
  <c r="H11" i="9"/>
  <c r="G11" i="9"/>
  <c r="F11" i="9"/>
  <c r="E11" i="9"/>
  <c r="C11" i="9"/>
  <c r="O26" i="8"/>
  <c r="N26" i="8"/>
  <c r="M26" i="8"/>
  <c r="K26" i="8"/>
  <c r="J26" i="8"/>
  <c r="H26" i="8"/>
  <c r="G26" i="8"/>
  <c r="F26" i="8"/>
  <c r="E26" i="8"/>
  <c r="C26" i="8"/>
  <c r="O25" i="8"/>
  <c r="N25" i="8"/>
  <c r="M25" i="8"/>
  <c r="K25" i="8"/>
  <c r="J25" i="8"/>
  <c r="H25" i="8"/>
  <c r="G25" i="8"/>
  <c r="F25" i="8"/>
  <c r="E25" i="8"/>
  <c r="C25" i="8"/>
  <c r="O24" i="8"/>
  <c r="N24" i="8"/>
  <c r="M24" i="8"/>
  <c r="K24" i="8"/>
  <c r="J24" i="8"/>
  <c r="H24" i="8"/>
  <c r="G24" i="8"/>
  <c r="F24" i="8"/>
  <c r="E24" i="8"/>
  <c r="C24" i="8"/>
  <c r="O23" i="8"/>
  <c r="N23" i="8"/>
  <c r="M23" i="8"/>
  <c r="K23" i="8"/>
  <c r="J23" i="8"/>
  <c r="H23" i="8"/>
  <c r="G23" i="8"/>
  <c r="F23" i="8"/>
  <c r="E23" i="8"/>
  <c r="C23" i="8"/>
  <c r="O22" i="8"/>
  <c r="N22" i="8"/>
  <c r="M22" i="8"/>
  <c r="K22" i="8"/>
  <c r="J22" i="8"/>
  <c r="H22" i="8"/>
  <c r="G22" i="8"/>
  <c r="F22" i="8"/>
  <c r="E22" i="8"/>
  <c r="C22" i="8"/>
  <c r="O21" i="8"/>
  <c r="N21" i="8"/>
  <c r="M21" i="8"/>
  <c r="K21" i="8"/>
  <c r="J21" i="8"/>
  <c r="H21" i="8"/>
  <c r="G21" i="8"/>
  <c r="F21" i="8"/>
  <c r="E21" i="8"/>
  <c r="C21" i="8"/>
  <c r="O20" i="8"/>
  <c r="N20" i="8"/>
  <c r="M20" i="8"/>
  <c r="K20" i="8"/>
  <c r="J20" i="8"/>
  <c r="H20" i="8"/>
  <c r="G20" i="8"/>
  <c r="F20" i="8"/>
  <c r="E20" i="8"/>
  <c r="C20" i="8"/>
  <c r="O19" i="8"/>
  <c r="N19" i="8"/>
  <c r="M19" i="8"/>
  <c r="K19" i="8"/>
  <c r="J19" i="8"/>
  <c r="H19" i="8"/>
  <c r="G19" i="8"/>
  <c r="F19" i="8"/>
  <c r="E19" i="8"/>
  <c r="C19" i="8"/>
  <c r="O18" i="8"/>
  <c r="N18" i="8"/>
  <c r="M18" i="8"/>
  <c r="K18" i="8"/>
  <c r="J18" i="8"/>
  <c r="H18" i="8"/>
  <c r="G18" i="8"/>
  <c r="F18" i="8"/>
  <c r="E18" i="8"/>
  <c r="C18" i="8"/>
  <c r="O17" i="8"/>
  <c r="N17" i="8"/>
  <c r="M17" i="8"/>
  <c r="K17" i="8"/>
  <c r="J17" i="8"/>
  <c r="H17" i="8"/>
  <c r="G17" i="8"/>
  <c r="F17" i="8"/>
  <c r="E17" i="8"/>
  <c r="C17" i="8"/>
  <c r="O16" i="8"/>
  <c r="N16" i="8"/>
  <c r="M16" i="8"/>
  <c r="K16" i="8"/>
  <c r="J16" i="8"/>
  <c r="H16" i="8"/>
  <c r="G16" i="8"/>
  <c r="F16" i="8"/>
  <c r="E16" i="8"/>
  <c r="C16" i="8"/>
  <c r="O15" i="8"/>
  <c r="N15" i="8"/>
  <c r="M15" i="8"/>
  <c r="K15" i="8"/>
  <c r="J15" i="8"/>
  <c r="H15" i="8"/>
  <c r="G15" i="8"/>
  <c r="F15" i="8"/>
  <c r="E15" i="8"/>
  <c r="C15" i="8"/>
  <c r="O14" i="8"/>
  <c r="N14" i="8"/>
  <c r="M14" i="8"/>
  <c r="K14" i="8"/>
  <c r="J14" i="8"/>
  <c r="H14" i="8"/>
  <c r="G14" i="8"/>
  <c r="F14" i="8"/>
  <c r="E14" i="8"/>
  <c r="C14" i="8"/>
  <c r="O13" i="8"/>
  <c r="N13" i="8"/>
  <c r="M13" i="8"/>
  <c r="K13" i="8"/>
  <c r="J13" i="8"/>
  <c r="H13" i="8"/>
  <c r="G13" i="8"/>
  <c r="F13" i="8"/>
  <c r="E13" i="8"/>
  <c r="C13" i="8"/>
  <c r="O12" i="8"/>
  <c r="N12" i="8"/>
  <c r="M12" i="8"/>
  <c r="K12" i="8"/>
  <c r="J12" i="8"/>
  <c r="H12" i="8"/>
  <c r="G12" i="8"/>
  <c r="F12" i="8"/>
  <c r="E12" i="8"/>
  <c r="C12" i="8"/>
  <c r="O11" i="8"/>
  <c r="N11" i="8"/>
  <c r="M11" i="8"/>
  <c r="K11" i="8"/>
  <c r="J11" i="8"/>
  <c r="H11" i="8"/>
  <c r="G11" i="8"/>
  <c r="F11" i="8"/>
  <c r="E11" i="8"/>
  <c r="C11" i="8"/>
  <c r="O31" i="7"/>
  <c r="N31" i="7"/>
  <c r="M31" i="7"/>
  <c r="K31" i="7"/>
  <c r="J31" i="7"/>
  <c r="H31" i="7"/>
  <c r="G31" i="7"/>
  <c r="F31" i="7"/>
  <c r="E31" i="7"/>
  <c r="C31" i="7"/>
  <c r="O30" i="7"/>
  <c r="N30" i="7"/>
  <c r="M30" i="7"/>
  <c r="K30" i="7"/>
  <c r="J30" i="7"/>
  <c r="H30" i="7"/>
  <c r="G30" i="7"/>
  <c r="F30" i="7"/>
  <c r="E30" i="7"/>
  <c r="C30" i="7"/>
  <c r="O29" i="7"/>
  <c r="N29" i="7"/>
  <c r="M29" i="7"/>
  <c r="K29" i="7"/>
  <c r="J29" i="7"/>
  <c r="H29" i="7"/>
  <c r="G29" i="7"/>
  <c r="F29" i="7"/>
  <c r="E29" i="7"/>
  <c r="C29" i="7"/>
  <c r="O28" i="7"/>
  <c r="N28" i="7"/>
  <c r="M28" i="7"/>
  <c r="K28" i="7"/>
  <c r="J28" i="7"/>
  <c r="H28" i="7"/>
  <c r="G28" i="7"/>
  <c r="F28" i="7"/>
  <c r="E28" i="7"/>
  <c r="C28" i="7"/>
  <c r="O27" i="7"/>
  <c r="N27" i="7"/>
  <c r="M27" i="7"/>
  <c r="K27" i="7"/>
  <c r="J27" i="7"/>
  <c r="H27" i="7"/>
  <c r="G27" i="7"/>
  <c r="F27" i="7"/>
  <c r="E27" i="7"/>
  <c r="C27" i="7"/>
  <c r="O26" i="7"/>
  <c r="N26" i="7"/>
  <c r="M26" i="7"/>
  <c r="K26" i="7"/>
  <c r="J26" i="7"/>
  <c r="H26" i="7"/>
  <c r="G26" i="7"/>
  <c r="F26" i="7"/>
  <c r="E26" i="7"/>
  <c r="C26" i="7"/>
  <c r="O25" i="7"/>
  <c r="N25" i="7"/>
  <c r="M25" i="7"/>
  <c r="K25" i="7"/>
  <c r="J25" i="7"/>
  <c r="H25" i="7"/>
  <c r="G25" i="7"/>
  <c r="F25" i="7"/>
  <c r="E25" i="7"/>
  <c r="C25" i="7"/>
  <c r="O24" i="7"/>
  <c r="N24" i="7"/>
  <c r="M24" i="7"/>
  <c r="K24" i="7"/>
  <c r="J24" i="7"/>
  <c r="H24" i="7"/>
  <c r="G24" i="7"/>
  <c r="F24" i="7"/>
  <c r="E24" i="7"/>
  <c r="C24" i="7"/>
  <c r="O23" i="7"/>
  <c r="N23" i="7"/>
  <c r="M23" i="7"/>
  <c r="K23" i="7"/>
  <c r="J23" i="7"/>
  <c r="H23" i="7"/>
  <c r="G23" i="7"/>
  <c r="F23" i="7"/>
  <c r="E23" i="7"/>
  <c r="C23" i="7"/>
  <c r="O22" i="7"/>
  <c r="N22" i="7"/>
  <c r="M22" i="7"/>
  <c r="K22" i="7"/>
  <c r="J22" i="7"/>
  <c r="H22" i="7"/>
  <c r="G22" i="7"/>
  <c r="F22" i="7"/>
  <c r="E22" i="7"/>
  <c r="C22" i="7"/>
  <c r="O21" i="7"/>
  <c r="N21" i="7"/>
  <c r="M21" i="7"/>
  <c r="K21" i="7"/>
  <c r="J21" i="7"/>
  <c r="H21" i="7"/>
  <c r="G21" i="7"/>
  <c r="F21" i="7"/>
  <c r="E21" i="7"/>
  <c r="C21" i="7"/>
  <c r="O20" i="7"/>
  <c r="N20" i="7"/>
  <c r="M20" i="7"/>
  <c r="K20" i="7"/>
  <c r="J20" i="7"/>
  <c r="H20" i="7"/>
  <c r="G20" i="7"/>
  <c r="F20" i="7"/>
  <c r="E20" i="7"/>
  <c r="C20" i="7"/>
  <c r="O19" i="7"/>
  <c r="N19" i="7"/>
  <c r="M19" i="7"/>
  <c r="K19" i="7"/>
  <c r="J19" i="7"/>
  <c r="H19" i="7"/>
  <c r="G19" i="7"/>
  <c r="F19" i="7"/>
  <c r="E19" i="7"/>
  <c r="C19" i="7"/>
  <c r="O18" i="7"/>
  <c r="N18" i="7"/>
  <c r="M18" i="7"/>
  <c r="K18" i="7"/>
  <c r="J18" i="7"/>
  <c r="H18" i="7"/>
  <c r="G18" i="7"/>
  <c r="F18" i="7"/>
  <c r="E18" i="7"/>
  <c r="C18" i="7"/>
  <c r="O17" i="7"/>
  <c r="N17" i="7"/>
  <c r="M17" i="7"/>
  <c r="K17" i="7"/>
  <c r="J17" i="7"/>
  <c r="H17" i="7"/>
  <c r="G17" i="7"/>
  <c r="F17" i="7"/>
  <c r="E17" i="7"/>
  <c r="C17" i="7"/>
  <c r="O16" i="7"/>
  <c r="N16" i="7"/>
  <c r="M16" i="7"/>
  <c r="K16" i="7"/>
  <c r="J16" i="7"/>
  <c r="H16" i="7"/>
  <c r="G16" i="7"/>
  <c r="F16" i="7"/>
  <c r="E16" i="7"/>
  <c r="C16" i="7"/>
  <c r="O15" i="7"/>
  <c r="N15" i="7"/>
  <c r="M15" i="7"/>
  <c r="K15" i="7"/>
  <c r="J15" i="7"/>
  <c r="H15" i="7"/>
  <c r="G15" i="7"/>
  <c r="F15" i="7"/>
  <c r="E15" i="7"/>
  <c r="C15" i="7"/>
  <c r="O14" i="7"/>
  <c r="N14" i="7"/>
  <c r="M14" i="7"/>
  <c r="K14" i="7"/>
  <c r="J14" i="7"/>
  <c r="H14" i="7"/>
  <c r="G14" i="7"/>
  <c r="F14" i="7"/>
  <c r="E14" i="7"/>
  <c r="C14" i="7"/>
  <c r="O13" i="7"/>
  <c r="N13" i="7"/>
  <c r="M13" i="7"/>
  <c r="K13" i="7"/>
  <c r="J13" i="7"/>
  <c r="H13" i="7"/>
  <c r="G13" i="7"/>
  <c r="F13" i="7"/>
  <c r="E13" i="7"/>
  <c r="C13" i="7"/>
  <c r="O12" i="7"/>
  <c r="N12" i="7"/>
  <c r="M12" i="7"/>
  <c r="K12" i="7"/>
  <c r="J12" i="7"/>
  <c r="H12" i="7"/>
  <c r="G12" i="7"/>
  <c r="F12" i="7"/>
  <c r="E12" i="7"/>
  <c r="C12" i="7"/>
  <c r="O11" i="7"/>
  <c r="N11" i="7"/>
  <c r="M11" i="7"/>
  <c r="K11" i="7"/>
  <c r="J11" i="7"/>
  <c r="H11" i="7"/>
  <c r="G11" i="7"/>
  <c r="F11" i="7"/>
  <c r="E11" i="7"/>
  <c r="C11" i="7"/>
  <c r="O32" i="6"/>
  <c r="N32" i="6"/>
  <c r="M32" i="6"/>
  <c r="K32" i="6"/>
  <c r="J32" i="6"/>
  <c r="H32" i="6"/>
  <c r="G32" i="6"/>
  <c r="F32" i="6"/>
  <c r="E32" i="6"/>
  <c r="C32" i="6"/>
  <c r="O31" i="6"/>
  <c r="N31" i="6"/>
  <c r="M31" i="6"/>
  <c r="K31" i="6"/>
  <c r="J31" i="6"/>
  <c r="H31" i="6"/>
  <c r="G31" i="6"/>
  <c r="F31" i="6"/>
  <c r="E31" i="6"/>
  <c r="C31" i="6"/>
  <c r="O30" i="6"/>
  <c r="N30" i="6"/>
  <c r="M30" i="6"/>
  <c r="K30" i="6"/>
  <c r="J30" i="6"/>
  <c r="H30" i="6"/>
  <c r="G30" i="6"/>
  <c r="F30" i="6"/>
  <c r="E30" i="6"/>
  <c r="C30" i="6"/>
  <c r="O29" i="6"/>
  <c r="N29" i="6"/>
  <c r="M29" i="6"/>
  <c r="K29" i="6"/>
  <c r="J29" i="6"/>
  <c r="H29" i="6"/>
  <c r="G29" i="6"/>
  <c r="F29" i="6"/>
  <c r="E29" i="6"/>
  <c r="C29" i="6"/>
  <c r="O28" i="6"/>
  <c r="N28" i="6"/>
  <c r="M28" i="6"/>
  <c r="K28" i="6"/>
  <c r="J28" i="6"/>
  <c r="H28" i="6"/>
  <c r="G28" i="6"/>
  <c r="F28" i="6"/>
  <c r="E28" i="6"/>
  <c r="C28" i="6"/>
  <c r="O27" i="6"/>
  <c r="N27" i="6"/>
  <c r="M27" i="6"/>
  <c r="K27" i="6"/>
  <c r="J27" i="6"/>
  <c r="H27" i="6"/>
  <c r="G27" i="6"/>
  <c r="F27" i="6"/>
  <c r="E27" i="6"/>
  <c r="C27" i="6"/>
  <c r="O26" i="6"/>
  <c r="N26" i="6"/>
  <c r="M26" i="6"/>
  <c r="K26" i="6"/>
  <c r="J26" i="6"/>
  <c r="H26" i="6"/>
  <c r="G26" i="6"/>
  <c r="F26" i="6"/>
  <c r="E26" i="6"/>
  <c r="C26" i="6"/>
  <c r="O25" i="6"/>
  <c r="N25" i="6"/>
  <c r="M25" i="6"/>
  <c r="K25" i="6"/>
  <c r="J25" i="6"/>
  <c r="H25" i="6"/>
  <c r="G25" i="6"/>
  <c r="F25" i="6"/>
  <c r="E25" i="6"/>
  <c r="C25" i="6"/>
  <c r="O24" i="6"/>
  <c r="N24" i="6"/>
  <c r="M24" i="6"/>
  <c r="K24" i="6"/>
  <c r="J24" i="6"/>
  <c r="H24" i="6"/>
  <c r="G24" i="6"/>
  <c r="F24" i="6"/>
  <c r="E24" i="6"/>
  <c r="C24" i="6"/>
  <c r="O23" i="6"/>
  <c r="N23" i="6"/>
  <c r="M23" i="6"/>
  <c r="K23" i="6"/>
  <c r="J23" i="6"/>
  <c r="H23" i="6"/>
  <c r="G23" i="6"/>
  <c r="F23" i="6"/>
  <c r="E23" i="6"/>
  <c r="C23" i="6"/>
  <c r="O22" i="6"/>
  <c r="N22" i="6"/>
  <c r="M22" i="6"/>
  <c r="K22" i="6"/>
  <c r="J22" i="6"/>
  <c r="H22" i="6"/>
  <c r="G22" i="6"/>
  <c r="F22" i="6"/>
  <c r="E22" i="6"/>
  <c r="C22" i="6"/>
  <c r="O21" i="6"/>
  <c r="N21" i="6"/>
  <c r="M21" i="6"/>
  <c r="K21" i="6"/>
  <c r="J21" i="6"/>
  <c r="H21" i="6"/>
  <c r="G21" i="6"/>
  <c r="F21" i="6"/>
  <c r="E21" i="6"/>
  <c r="C21" i="6"/>
  <c r="S20" i="6"/>
  <c r="O20" i="6"/>
  <c r="N20" i="6"/>
  <c r="M20" i="6"/>
  <c r="K20" i="6"/>
  <c r="J20" i="6"/>
  <c r="H20" i="6"/>
  <c r="G20" i="6"/>
  <c r="F20" i="6"/>
  <c r="E20" i="6"/>
  <c r="C20" i="6"/>
  <c r="O19" i="6"/>
  <c r="N19" i="6"/>
  <c r="M19" i="6"/>
  <c r="K19" i="6"/>
  <c r="J19" i="6"/>
  <c r="H19" i="6"/>
  <c r="G19" i="6"/>
  <c r="F19" i="6"/>
  <c r="E19" i="6"/>
  <c r="C19" i="6"/>
  <c r="O18" i="6"/>
  <c r="N18" i="6"/>
  <c r="M18" i="6"/>
  <c r="K18" i="6"/>
  <c r="J18" i="6"/>
  <c r="H18" i="6"/>
  <c r="G18" i="6"/>
  <c r="F18" i="6"/>
  <c r="E18" i="6"/>
  <c r="C18" i="6"/>
  <c r="O17" i="6"/>
  <c r="N17" i="6"/>
  <c r="M17" i="6"/>
  <c r="K17" i="6"/>
  <c r="J17" i="6"/>
  <c r="H17" i="6"/>
  <c r="G17" i="6"/>
  <c r="F17" i="6"/>
  <c r="E17" i="6"/>
  <c r="C17" i="6"/>
  <c r="S16" i="6"/>
  <c r="O16" i="6"/>
  <c r="N16" i="6"/>
  <c r="M16" i="6"/>
  <c r="K16" i="6"/>
  <c r="J16" i="6"/>
  <c r="H16" i="6"/>
  <c r="G16" i="6"/>
  <c r="F16" i="6"/>
  <c r="E16" i="6"/>
  <c r="C16" i="6"/>
  <c r="O15" i="6"/>
  <c r="N15" i="6"/>
  <c r="M15" i="6"/>
  <c r="K15" i="6"/>
  <c r="J15" i="6"/>
  <c r="H15" i="6"/>
  <c r="G15" i="6"/>
  <c r="F15" i="6"/>
  <c r="E15" i="6"/>
  <c r="C15" i="6"/>
  <c r="O14" i="6"/>
  <c r="N14" i="6"/>
  <c r="M14" i="6"/>
  <c r="K14" i="6"/>
  <c r="J14" i="6"/>
  <c r="H14" i="6"/>
  <c r="G14" i="6"/>
  <c r="F14" i="6"/>
  <c r="E14" i="6"/>
  <c r="C14" i="6"/>
  <c r="O13" i="6"/>
  <c r="N13" i="6"/>
  <c r="M13" i="6"/>
  <c r="K13" i="6"/>
  <c r="J13" i="6"/>
  <c r="H13" i="6"/>
  <c r="G13" i="6"/>
  <c r="F13" i="6"/>
  <c r="E13" i="6"/>
  <c r="C13" i="6"/>
  <c r="O12" i="6"/>
  <c r="N12" i="6"/>
  <c r="M12" i="6"/>
  <c r="K12" i="6"/>
  <c r="J12" i="6"/>
  <c r="H12" i="6"/>
  <c r="G12" i="6"/>
  <c r="F12" i="6"/>
  <c r="E12" i="6"/>
  <c r="C12" i="6"/>
  <c r="O11" i="6"/>
  <c r="N11" i="6"/>
  <c r="M11" i="6"/>
  <c r="K11" i="6"/>
  <c r="J11" i="6"/>
  <c r="H11" i="6"/>
  <c r="G11" i="6"/>
  <c r="F11" i="6"/>
  <c r="E11" i="6"/>
  <c r="C11" i="6"/>
  <c r="O26" i="5"/>
  <c r="N26" i="5"/>
  <c r="M26" i="5"/>
  <c r="K26" i="5"/>
  <c r="J26" i="5"/>
  <c r="H26" i="5"/>
  <c r="G26" i="5"/>
  <c r="F26" i="5"/>
  <c r="E26" i="5"/>
  <c r="C26" i="5"/>
  <c r="O25" i="5"/>
  <c r="N25" i="5"/>
  <c r="M25" i="5"/>
  <c r="K25" i="5"/>
  <c r="J25" i="5"/>
  <c r="H25" i="5"/>
  <c r="G25" i="5"/>
  <c r="F25" i="5"/>
  <c r="E25" i="5"/>
  <c r="C25" i="5"/>
  <c r="O24" i="5"/>
  <c r="N24" i="5"/>
  <c r="M24" i="5"/>
  <c r="K24" i="5"/>
  <c r="J24" i="5"/>
  <c r="H24" i="5"/>
  <c r="G24" i="5"/>
  <c r="F24" i="5"/>
  <c r="E24" i="5"/>
  <c r="C24" i="5"/>
  <c r="O23" i="5"/>
  <c r="N23" i="5"/>
  <c r="M23" i="5"/>
  <c r="K23" i="5"/>
  <c r="J23" i="5"/>
  <c r="H23" i="5"/>
  <c r="G23" i="5"/>
  <c r="F23" i="5"/>
  <c r="E23" i="5"/>
  <c r="C23" i="5"/>
  <c r="O22" i="5"/>
  <c r="N22" i="5"/>
  <c r="M22" i="5"/>
  <c r="K22" i="5"/>
  <c r="J22" i="5"/>
  <c r="H22" i="5"/>
  <c r="G22" i="5"/>
  <c r="F22" i="5"/>
  <c r="E22" i="5"/>
  <c r="C22" i="5"/>
  <c r="O21" i="5"/>
  <c r="N21" i="5"/>
  <c r="M21" i="5"/>
  <c r="K21" i="5"/>
  <c r="J21" i="5"/>
  <c r="H21" i="5"/>
  <c r="G21" i="5"/>
  <c r="F21" i="5"/>
  <c r="E21" i="5"/>
  <c r="C21" i="5"/>
  <c r="O20" i="5"/>
  <c r="N20" i="5"/>
  <c r="M20" i="5"/>
  <c r="K20" i="5"/>
  <c r="J20" i="5"/>
  <c r="H20" i="5"/>
  <c r="G20" i="5"/>
  <c r="F20" i="5"/>
  <c r="E20" i="5"/>
  <c r="C20" i="5"/>
  <c r="O19" i="5"/>
  <c r="N19" i="5"/>
  <c r="M19" i="5"/>
  <c r="K19" i="5"/>
  <c r="J19" i="5"/>
  <c r="H19" i="5"/>
  <c r="G19" i="5"/>
  <c r="F19" i="5"/>
  <c r="E19" i="5"/>
  <c r="C19" i="5"/>
  <c r="O18" i="5"/>
  <c r="N18" i="5"/>
  <c r="M18" i="5"/>
  <c r="K18" i="5"/>
  <c r="J18" i="5"/>
  <c r="H18" i="5"/>
  <c r="G18" i="5"/>
  <c r="F18" i="5"/>
  <c r="E18" i="5"/>
  <c r="C18" i="5"/>
  <c r="O17" i="5"/>
  <c r="N17" i="5"/>
  <c r="M17" i="5"/>
  <c r="K17" i="5"/>
  <c r="J17" i="5"/>
  <c r="H17" i="5"/>
  <c r="G17" i="5"/>
  <c r="F17" i="5"/>
  <c r="E17" i="5"/>
  <c r="C17" i="5"/>
  <c r="O16" i="5"/>
  <c r="N16" i="5"/>
  <c r="M16" i="5"/>
  <c r="K16" i="5"/>
  <c r="J16" i="5"/>
  <c r="H16" i="5"/>
  <c r="G16" i="5"/>
  <c r="F16" i="5"/>
  <c r="E16" i="5"/>
  <c r="C16" i="5"/>
  <c r="O15" i="5"/>
  <c r="N15" i="5"/>
  <c r="M15" i="5"/>
  <c r="K15" i="5"/>
  <c r="J15" i="5"/>
  <c r="H15" i="5"/>
  <c r="G15" i="5"/>
  <c r="F15" i="5"/>
  <c r="E15" i="5"/>
  <c r="C15" i="5"/>
  <c r="O14" i="5"/>
  <c r="N14" i="5"/>
  <c r="M14" i="5"/>
  <c r="K14" i="5"/>
  <c r="J14" i="5"/>
  <c r="H14" i="5"/>
  <c r="G14" i="5"/>
  <c r="F14" i="5"/>
  <c r="E14" i="5"/>
  <c r="C14" i="5"/>
  <c r="O13" i="5"/>
  <c r="N13" i="5"/>
  <c r="M13" i="5"/>
  <c r="K13" i="5"/>
  <c r="J13" i="5"/>
  <c r="H13" i="5"/>
  <c r="G13" i="5"/>
  <c r="F13" i="5"/>
  <c r="E13" i="5"/>
  <c r="C13" i="5"/>
  <c r="O12" i="5"/>
  <c r="N12" i="5"/>
  <c r="M12" i="5"/>
  <c r="K12" i="5"/>
  <c r="J12" i="5"/>
  <c r="H12" i="5"/>
  <c r="G12" i="5"/>
  <c r="F12" i="5"/>
  <c r="E12" i="5"/>
  <c r="C12" i="5"/>
  <c r="O11" i="5"/>
  <c r="N11" i="5"/>
  <c r="M11" i="5"/>
  <c r="K11" i="5"/>
  <c r="J11" i="5"/>
  <c r="H11" i="5"/>
  <c r="G11" i="5"/>
  <c r="F11" i="5"/>
  <c r="E11" i="5"/>
  <c r="C11" i="5"/>
  <c r="O25" i="4"/>
  <c r="N25" i="4"/>
  <c r="M25" i="4"/>
  <c r="K25" i="4"/>
  <c r="J25" i="4"/>
  <c r="H25" i="4"/>
  <c r="G25" i="4"/>
  <c r="F25" i="4"/>
  <c r="E25" i="4"/>
  <c r="C25" i="4"/>
  <c r="O24" i="4"/>
  <c r="N24" i="4"/>
  <c r="M24" i="4"/>
  <c r="K24" i="4"/>
  <c r="J24" i="4"/>
  <c r="H24" i="4"/>
  <c r="G24" i="4"/>
  <c r="F24" i="4"/>
  <c r="E24" i="4"/>
  <c r="C24" i="4"/>
  <c r="O23" i="4"/>
  <c r="N23" i="4"/>
  <c r="M23" i="4"/>
  <c r="K23" i="4"/>
  <c r="J23" i="4"/>
  <c r="H23" i="4"/>
  <c r="G23" i="4"/>
  <c r="F23" i="4"/>
  <c r="E23" i="4"/>
  <c r="C23" i="4"/>
  <c r="O22" i="4"/>
  <c r="N22" i="4"/>
  <c r="M22" i="4"/>
  <c r="K22" i="4"/>
  <c r="J22" i="4"/>
  <c r="H22" i="4"/>
  <c r="G22" i="4"/>
  <c r="F22" i="4"/>
  <c r="E22" i="4"/>
  <c r="C22" i="4"/>
  <c r="O21" i="4"/>
  <c r="N21" i="4"/>
  <c r="M21" i="4"/>
  <c r="K21" i="4"/>
  <c r="J21" i="4"/>
  <c r="H21" i="4"/>
  <c r="G21" i="4"/>
  <c r="F21" i="4"/>
  <c r="E21" i="4"/>
  <c r="C21" i="4"/>
  <c r="O20" i="4"/>
  <c r="N20" i="4"/>
  <c r="M20" i="4"/>
  <c r="K20" i="4"/>
  <c r="J20" i="4"/>
  <c r="H20" i="4"/>
  <c r="G20" i="4"/>
  <c r="F20" i="4"/>
  <c r="E20" i="4"/>
  <c r="C20" i="4"/>
  <c r="O19" i="4"/>
  <c r="N19" i="4"/>
  <c r="M19" i="4"/>
  <c r="K19" i="4"/>
  <c r="J19" i="4"/>
  <c r="H19" i="4"/>
  <c r="G19" i="4"/>
  <c r="F19" i="4"/>
  <c r="E19" i="4"/>
  <c r="C19" i="4"/>
  <c r="O18" i="4"/>
  <c r="N18" i="4"/>
  <c r="M18" i="4"/>
  <c r="K18" i="4"/>
  <c r="J18" i="4"/>
  <c r="H18" i="4"/>
  <c r="G18" i="4"/>
  <c r="F18" i="4"/>
  <c r="E18" i="4"/>
  <c r="C18" i="4"/>
  <c r="O17" i="4"/>
  <c r="N17" i="4"/>
  <c r="M17" i="4"/>
  <c r="K17" i="4"/>
  <c r="J17" i="4"/>
  <c r="H17" i="4"/>
  <c r="G17" i="4"/>
  <c r="F17" i="4"/>
  <c r="E17" i="4"/>
  <c r="C17" i="4"/>
  <c r="O16" i="4"/>
  <c r="N16" i="4"/>
  <c r="M16" i="4"/>
  <c r="K16" i="4"/>
  <c r="J16" i="4"/>
  <c r="H16" i="4"/>
  <c r="G16" i="4"/>
  <c r="F16" i="4"/>
  <c r="E16" i="4"/>
  <c r="C16" i="4"/>
  <c r="O15" i="4"/>
  <c r="N15" i="4"/>
  <c r="M15" i="4"/>
  <c r="K15" i="4"/>
  <c r="J15" i="4"/>
  <c r="H15" i="4"/>
  <c r="G15" i="4"/>
  <c r="F15" i="4"/>
  <c r="E15" i="4"/>
  <c r="C15" i="4"/>
  <c r="O14" i="4"/>
  <c r="N14" i="4"/>
  <c r="M14" i="4"/>
  <c r="K14" i="4"/>
  <c r="J14" i="4"/>
  <c r="H14" i="4"/>
  <c r="G14" i="4"/>
  <c r="F14" i="4"/>
  <c r="E14" i="4"/>
  <c r="C14" i="4"/>
  <c r="O13" i="4"/>
  <c r="N13" i="4"/>
  <c r="M13" i="4"/>
  <c r="K13" i="4"/>
  <c r="J13" i="4"/>
  <c r="H13" i="4"/>
  <c r="G13" i="4"/>
  <c r="F13" i="4"/>
  <c r="E13" i="4"/>
  <c r="C13" i="4"/>
  <c r="O12" i="4"/>
  <c r="N12" i="4"/>
  <c r="M12" i="4"/>
  <c r="K12" i="4"/>
  <c r="J12" i="4"/>
  <c r="H12" i="4"/>
  <c r="G12" i="4"/>
  <c r="F12" i="4"/>
  <c r="E12" i="4"/>
  <c r="C12" i="4"/>
  <c r="O11" i="4"/>
  <c r="N11" i="4"/>
  <c r="M11" i="4"/>
  <c r="K11" i="4"/>
  <c r="J11" i="4"/>
  <c r="H11" i="4"/>
  <c r="G11" i="4"/>
  <c r="F11" i="4"/>
  <c r="E11" i="4"/>
  <c r="C11" i="4"/>
  <c r="H133" i="3"/>
  <c r="G133" i="3"/>
  <c r="F133" i="3"/>
  <c r="E133" i="3"/>
  <c r="D133" i="3"/>
  <c r="C133" i="3"/>
  <c r="H132" i="3"/>
  <c r="G132" i="3"/>
  <c r="F132" i="3"/>
  <c r="E132" i="3"/>
  <c r="D132" i="3"/>
  <c r="C132" i="3"/>
  <c r="H131" i="3"/>
  <c r="G131" i="3"/>
  <c r="F131" i="3"/>
  <c r="E131" i="3"/>
  <c r="D131" i="3"/>
  <c r="C131" i="3"/>
  <c r="H130" i="3"/>
  <c r="G130" i="3"/>
  <c r="F130" i="3"/>
  <c r="E130" i="3"/>
  <c r="D130" i="3"/>
  <c r="C130" i="3"/>
  <c r="H129" i="3"/>
  <c r="G129" i="3"/>
  <c r="F129" i="3"/>
  <c r="E129" i="3"/>
  <c r="D129" i="3"/>
  <c r="C129" i="3"/>
  <c r="H128" i="3"/>
  <c r="G128" i="3"/>
  <c r="F128" i="3"/>
  <c r="E128" i="3"/>
  <c r="D128" i="3"/>
  <c r="C128" i="3"/>
  <c r="H127" i="3"/>
  <c r="G127" i="3"/>
  <c r="F127" i="3"/>
  <c r="E127" i="3"/>
  <c r="D127" i="3"/>
  <c r="C127" i="3"/>
  <c r="H126" i="3"/>
  <c r="G126" i="3"/>
  <c r="F126" i="3"/>
  <c r="E126" i="3"/>
  <c r="D126" i="3"/>
  <c r="C126" i="3"/>
  <c r="H125" i="3"/>
  <c r="G125" i="3"/>
  <c r="F125" i="3"/>
  <c r="E125" i="3"/>
  <c r="D125" i="3"/>
  <c r="C125" i="3"/>
  <c r="H124" i="3"/>
  <c r="G124" i="3"/>
  <c r="F124" i="3"/>
  <c r="E124" i="3"/>
  <c r="D124" i="3"/>
  <c r="C124" i="3"/>
  <c r="H123" i="3"/>
  <c r="G123" i="3"/>
  <c r="F123" i="3"/>
  <c r="E123" i="3"/>
  <c r="D123" i="3"/>
  <c r="C123" i="3"/>
  <c r="H122" i="3"/>
  <c r="G122" i="3"/>
  <c r="F122" i="3"/>
  <c r="E122" i="3"/>
  <c r="D122" i="3"/>
  <c r="C122" i="3"/>
  <c r="H121" i="3"/>
  <c r="G121" i="3"/>
  <c r="F121" i="3"/>
  <c r="E121" i="3"/>
  <c r="D121" i="3"/>
  <c r="C121" i="3"/>
  <c r="H120" i="3"/>
  <c r="G120" i="3"/>
  <c r="F120" i="3"/>
  <c r="E120" i="3"/>
  <c r="D120" i="3"/>
  <c r="C120" i="3"/>
  <c r="H119" i="3"/>
  <c r="G119" i="3"/>
  <c r="F119" i="3"/>
  <c r="E119" i="3"/>
  <c r="D119" i="3"/>
  <c r="C119" i="3"/>
  <c r="H118" i="3"/>
  <c r="G118" i="3"/>
  <c r="F118" i="3"/>
  <c r="E118" i="3"/>
  <c r="D118" i="3"/>
  <c r="C118" i="3"/>
  <c r="H117" i="3"/>
  <c r="G117" i="3"/>
  <c r="F117" i="3"/>
  <c r="E117" i="3"/>
  <c r="D117" i="3"/>
  <c r="C117" i="3"/>
  <c r="H116" i="3"/>
  <c r="G116" i="3"/>
  <c r="F116" i="3"/>
  <c r="E116" i="3"/>
  <c r="D116" i="3"/>
  <c r="C116" i="3"/>
  <c r="H115" i="3"/>
  <c r="G115" i="3"/>
  <c r="F115" i="3"/>
  <c r="E115" i="3"/>
  <c r="D115" i="3"/>
  <c r="C115" i="3"/>
  <c r="H114" i="3"/>
  <c r="G114" i="3"/>
  <c r="F114" i="3"/>
  <c r="E114" i="3"/>
  <c r="D114" i="3"/>
  <c r="C114" i="3"/>
  <c r="H113" i="3"/>
  <c r="G113" i="3"/>
  <c r="F113" i="3"/>
  <c r="E113" i="3"/>
  <c r="D113" i="3"/>
  <c r="C113" i="3"/>
  <c r="H112" i="3"/>
  <c r="G112" i="3"/>
  <c r="F112" i="3"/>
  <c r="E112" i="3"/>
  <c r="D112" i="3"/>
  <c r="C112" i="3"/>
  <c r="H111" i="3"/>
  <c r="G111" i="3"/>
  <c r="F111" i="3"/>
  <c r="E111" i="3"/>
  <c r="D111" i="3"/>
  <c r="C111" i="3"/>
  <c r="H110" i="3"/>
  <c r="G110" i="3"/>
  <c r="F110" i="3"/>
  <c r="E110" i="3"/>
  <c r="D110" i="3"/>
  <c r="C110" i="3"/>
  <c r="H109" i="3"/>
  <c r="G109" i="3"/>
  <c r="F109" i="3"/>
  <c r="E109" i="3"/>
  <c r="D109" i="3"/>
  <c r="C109" i="3"/>
  <c r="H108" i="3"/>
  <c r="G108" i="3"/>
  <c r="F108" i="3"/>
  <c r="E108" i="3"/>
  <c r="D108" i="3"/>
  <c r="C108" i="3"/>
  <c r="H107" i="3"/>
  <c r="G107" i="3"/>
  <c r="F107" i="3"/>
  <c r="E107" i="3"/>
  <c r="D107" i="3"/>
  <c r="C107" i="3"/>
  <c r="H106" i="3"/>
  <c r="G106" i="3"/>
  <c r="F106" i="3"/>
  <c r="E106" i="3"/>
  <c r="D106" i="3"/>
  <c r="C106" i="3"/>
  <c r="H105" i="3"/>
  <c r="G105" i="3"/>
  <c r="F105" i="3"/>
  <c r="E105" i="3"/>
  <c r="D105" i="3"/>
  <c r="C105" i="3"/>
  <c r="H104" i="3"/>
  <c r="G104" i="3"/>
  <c r="F104" i="3"/>
  <c r="E104" i="3"/>
  <c r="D104" i="3"/>
  <c r="C104" i="3"/>
  <c r="H103" i="3"/>
  <c r="G103" i="3"/>
  <c r="F103" i="3"/>
  <c r="E103" i="3"/>
  <c r="D103" i="3"/>
  <c r="C103" i="3"/>
  <c r="H102" i="3"/>
  <c r="G102" i="3"/>
  <c r="F102" i="3"/>
  <c r="E102" i="3"/>
  <c r="D102" i="3"/>
  <c r="C102" i="3"/>
  <c r="H101" i="3"/>
  <c r="G101" i="3"/>
  <c r="F101" i="3"/>
  <c r="E101" i="3"/>
  <c r="D101" i="3"/>
  <c r="C101" i="3"/>
  <c r="H100" i="3"/>
  <c r="G100" i="3"/>
  <c r="F100" i="3"/>
  <c r="E100" i="3"/>
  <c r="D100" i="3"/>
  <c r="C100" i="3"/>
  <c r="H99" i="3"/>
  <c r="G99" i="3"/>
  <c r="F99" i="3"/>
  <c r="E99" i="3"/>
  <c r="D99" i="3"/>
  <c r="C99" i="3"/>
  <c r="H98" i="3"/>
  <c r="G98" i="3"/>
  <c r="F98" i="3"/>
  <c r="E98" i="3"/>
  <c r="D98" i="3"/>
  <c r="C98" i="3"/>
  <c r="H97" i="3"/>
  <c r="G97" i="3"/>
  <c r="F97" i="3"/>
  <c r="E97" i="3"/>
  <c r="D97" i="3"/>
  <c r="C97" i="3"/>
  <c r="H96" i="3"/>
  <c r="G96" i="3"/>
  <c r="F96" i="3"/>
  <c r="E96" i="3"/>
  <c r="D96" i="3"/>
  <c r="C96" i="3"/>
  <c r="H95" i="3"/>
  <c r="G95" i="3"/>
  <c r="F95" i="3"/>
  <c r="E95" i="3"/>
  <c r="D95" i="3"/>
  <c r="C95" i="3"/>
  <c r="H94" i="3"/>
  <c r="G94" i="3"/>
  <c r="F94" i="3"/>
  <c r="E94" i="3"/>
  <c r="D94" i="3"/>
  <c r="C94" i="3"/>
  <c r="H93" i="3"/>
  <c r="G93" i="3"/>
  <c r="F93" i="3"/>
  <c r="E93" i="3"/>
  <c r="D93" i="3"/>
  <c r="C93" i="3"/>
  <c r="H92" i="3"/>
  <c r="G92" i="3"/>
  <c r="F92" i="3"/>
  <c r="E92" i="3"/>
  <c r="D92" i="3"/>
  <c r="C92" i="3"/>
  <c r="H91" i="3"/>
  <c r="G91" i="3"/>
  <c r="F91" i="3"/>
  <c r="E91" i="3"/>
  <c r="D91" i="3"/>
  <c r="C91" i="3"/>
  <c r="H90" i="3"/>
  <c r="G90" i="3"/>
  <c r="F90" i="3"/>
  <c r="E90" i="3"/>
  <c r="D90" i="3"/>
  <c r="C90" i="3"/>
  <c r="H89" i="3"/>
  <c r="G89" i="3"/>
  <c r="F89" i="3"/>
  <c r="E89" i="3"/>
  <c r="D89" i="3"/>
  <c r="C89" i="3"/>
  <c r="H88" i="3"/>
  <c r="G88" i="3"/>
  <c r="F88" i="3"/>
  <c r="E88" i="3"/>
  <c r="D88" i="3"/>
  <c r="C88" i="3"/>
  <c r="H87" i="3"/>
  <c r="G87" i="3"/>
  <c r="F87" i="3"/>
  <c r="E87" i="3"/>
  <c r="D87" i="3"/>
  <c r="C87" i="3"/>
  <c r="H86" i="3"/>
  <c r="G86" i="3"/>
  <c r="F86" i="3"/>
  <c r="E86" i="3"/>
  <c r="D86" i="3"/>
  <c r="C86" i="3"/>
  <c r="H85" i="3"/>
  <c r="G85" i="3"/>
  <c r="F85" i="3"/>
  <c r="E85" i="3"/>
  <c r="D85" i="3"/>
  <c r="C85" i="3"/>
  <c r="H84" i="3"/>
  <c r="G84" i="3"/>
  <c r="F84" i="3"/>
  <c r="E84" i="3"/>
  <c r="D84" i="3"/>
  <c r="C84" i="3"/>
  <c r="H83" i="3"/>
  <c r="G83" i="3"/>
  <c r="F83" i="3"/>
  <c r="E83" i="3"/>
  <c r="D83" i="3"/>
  <c r="C83" i="3"/>
  <c r="H82" i="3"/>
  <c r="G82" i="3"/>
  <c r="F82" i="3"/>
  <c r="E82" i="3"/>
  <c r="D82" i="3"/>
  <c r="C82" i="3"/>
  <c r="H81" i="3"/>
  <c r="G81" i="3"/>
  <c r="F81" i="3"/>
  <c r="E81" i="3"/>
  <c r="D81" i="3"/>
  <c r="C81" i="3"/>
  <c r="H80" i="3"/>
  <c r="G80" i="3"/>
  <c r="F80" i="3"/>
  <c r="E80" i="3"/>
  <c r="D80" i="3"/>
  <c r="C80" i="3"/>
  <c r="H79" i="3"/>
  <c r="G79" i="3"/>
  <c r="F79" i="3"/>
  <c r="E79" i="3"/>
  <c r="D79" i="3"/>
  <c r="C79" i="3"/>
  <c r="H78" i="3"/>
  <c r="G78" i="3"/>
  <c r="F78" i="3"/>
  <c r="E78" i="3"/>
  <c r="D78" i="3"/>
  <c r="C78" i="3"/>
  <c r="H77" i="3"/>
  <c r="G77" i="3"/>
  <c r="F77" i="3"/>
  <c r="E77" i="3"/>
  <c r="D77" i="3"/>
  <c r="C77" i="3"/>
  <c r="H76" i="3"/>
  <c r="G76" i="3"/>
  <c r="F76" i="3"/>
  <c r="E76" i="3"/>
  <c r="D76" i="3"/>
  <c r="C76" i="3"/>
  <c r="F75" i="3"/>
  <c r="E75" i="3"/>
  <c r="D75" i="3"/>
  <c r="C75" i="3"/>
  <c r="H74" i="3"/>
  <c r="G74" i="3"/>
  <c r="F74" i="3"/>
  <c r="E74" i="3"/>
  <c r="D74" i="3"/>
  <c r="C74" i="3"/>
  <c r="H73" i="3"/>
  <c r="G73" i="3"/>
  <c r="F73" i="3"/>
  <c r="E73" i="3"/>
  <c r="D73" i="3"/>
  <c r="C73" i="3"/>
  <c r="H72" i="3"/>
  <c r="G72" i="3"/>
  <c r="F72" i="3"/>
  <c r="E72" i="3"/>
  <c r="D72" i="3"/>
  <c r="C72" i="3"/>
  <c r="H71" i="3"/>
  <c r="G71" i="3"/>
  <c r="F71" i="3"/>
  <c r="E71" i="3"/>
  <c r="D71" i="3"/>
  <c r="C71" i="3"/>
  <c r="H70" i="3"/>
  <c r="G70" i="3"/>
  <c r="F70" i="3"/>
  <c r="E70" i="3"/>
  <c r="D70" i="3"/>
  <c r="C70" i="3"/>
  <c r="H69" i="3"/>
  <c r="G69" i="3"/>
  <c r="F69" i="3"/>
  <c r="E69" i="3"/>
  <c r="D69" i="3"/>
  <c r="C69" i="3"/>
  <c r="H68" i="3"/>
  <c r="G68" i="3"/>
  <c r="F68" i="3"/>
  <c r="E68" i="3"/>
  <c r="D68" i="3"/>
  <c r="C68" i="3"/>
  <c r="H67" i="3"/>
  <c r="G67" i="3"/>
  <c r="F67" i="3"/>
  <c r="E67" i="3"/>
  <c r="D67" i="3"/>
  <c r="C67" i="3"/>
  <c r="H66" i="3"/>
  <c r="G66" i="3"/>
  <c r="F66" i="3"/>
  <c r="E66" i="3"/>
  <c r="D66" i="3"/>
  <c r="C66" i="3"/>
  <c r="H65" i="3"/>
  <c r="G65" i="3"/>
  <c r="F65" i="3"/>
  <c r="E65" i="3"/>
  <c r="D65" i="3"/>
  <c r="C65" i="3"/>
  <c r="H64" i="3"/>
  <c r="G64" i="3"/>
  <c r="F64" i="3"/>
  <c r="E64" i="3"/>
  <c r="D64" i="3"/>
  <c r="C64" i="3"/>
  <c r="H63" i="3"/>
  <c r="G63" i="3"/>
  <c r="F63" i="3"/>
  <c r="E63" i="3"/>
  <c r="D63" i="3"/>
  <c r="C63" i="3"/>
  <c r="H62" i="3"/>
  <c r="G62" i="3"/>
  <c r="F62" i="3"/>
  <c r="E62" i="3"/>
  <c r="D62" i="3"/>
  <c r="C62" i="3"/>
  <c r="H61" i="3"/>
  <c r="G61" i="3"/>
  <c r="F61" i="3"/>
  <c r="E61" i="3"/>
  <c r="D61" i="3"/>
  <c r="C61" i="3"/>
  <c r="H60" i="3"/>
  <c r="G60" i="3"/>
  <c r="F60" i="3"/>
  <c r="E60" i="3"/>
  <c r="D60" i="3"/>
  <c r="C60" i="3"/>
  <c r="H59" i="3"/>
  <c r="G59" i="3"/>
  <c r="F59" i="3"/>
  <c r="E59" i="3"/>
  <c r="D59" i="3"/>
  <c r="C59" i="3"/>
  <c r="H58" i="3"/>
  <c r="G58" i="3"/>
  <c r="F58" i="3"/>
  <c r="E58" i="3"/>
  <c r="D58" i="3"/>
  <c r="C58" i="3"/>
  <c r="H57" i="3"/>
  <c r="G57" i="3"/>
  <c r="F57" i="3"/>
  <c r="E57" i="3"/>
  <c r="D57" i="3"/>
  <c r="C57" i="3"/>
  <c r="H56" i="3"/>
  <c r="G56" i="3"/>
  <c r="F56" i="3"/>
  <c r="E56" i="3"/>
  <c r="D56" i="3"/>
  <c r="C56" i="3"/>
  <c r="H55" i="3"/>
  <c r="G55" i="3"/>
  <c r="F55" i="3"/>
  <c r="E55" i="3"/>
  <c r="D55" i="3"/>
  <c r="C55" i="3"/>
  <c r="H54" i="3"/>
  <c r="G54" i="3"/>
  <c r="F54" i="3"/>
  <c r="E54" i="3"/>
  <c r="D54" i="3"/>
  <c r="C54" i="3"/>
  <c r="H53" i="3"/>
  <c r="G53" i="3"/>
  <c r="F53" i="3"/>
  <c r="E53" i="3"/>
  <c r="D53" i="3"/>
  <c r="C53" i="3"/>
  <c r="H52" i="3"/>
  <c r="G52" i="3"/>
  <c r="F52" i="3"/>
  <c r="E52" i="3"/>
  <c r="D52" i="3"/>
  <c r="C52" i="3"/>
  <c r="H51" i="3"/>
  <c r="G51" i="3"/>
  <c r="F51" i="3"/>
  <c r="E51" i="3"/>
  <c r="D51" i="3"/>
  <c r="C51" i="3"/>
  <c r="H50" i="3"/>
  <c r="G50" i="3"/>
  <c r="F50" i="3"/>
  <c r="E50" i="3"/>
  <c r="D50" i="3"/>
  <c r="C50" i="3"/>
  <c r="H49" i="3"/>
  <c r="G49" i="3"/>
  <c r="F49" i="3"/>
  <c r="E49" i="3"/>
  <c r="D49" i="3"/>
  <c r="C49" i="3"/>
  <c r="H48" i="3"/>
  <c r="G48" i="3"/>
  <c r="F48" i="3"/>
  <c r="E48" i="3"/>
  <c r="D48" i="3"/>
  <c r="C48" i="3"/>
  <c r="H47" i="3"/>
  <c r="G47" i="3"/>
  <c r="F47" i="3"/>
  <c r="E47" i="3"/>
  <c r="D47" i="3"/>
  <c r="C47" i="3"/>
  <c r="H46" i="3"/>
  <c r="G46" i="3"/>
  <c r="F46" i="3"/>
  <c r="E46" i="3"/>
  <c r="D46" i="3"/>
  <c r="C46" i="3"/>
  <c r="H45" i="3"/>
  <c r="G45" i="3"/>
  <c r="F45" i="3"/>
  <c r="E45" i="3"/>
  <c r="D45" i="3"/>
  <c r="C45" i="3"/>
  <c r="H44" i="3"/>
  <c r="G44" i="3"/>
  <c r="F44" i="3"/>
  <c r="E44" i="3"/>
  <c r="D44" i="3"/>
  <c r="C44" i="3"/>
  <c r="H43" i="3"/>
  <c r="G43" i="3"/>
  <c r="F43" i="3"/>
  <c r="E43" i="3"/>
  <c r="D43" i="3"/>
  <c r="C43" i="3"/>
  <c r="H42" i="3"/>
  <c r="G42" i="3"/>
  <c r="F42" i="3"/>
  <c r="E42" i="3"/>
  <c r="D42" i="3"/>
  <c r="C42" i="3"/>
  <c r="H41" i="3"/>
  <c r="G41" i="3"/>
  <c r="F41" i="3"/>
  <c r="E41" i="3"/>
  <c r="D41" i="3"/>
  <c r="C41" i="3"/>
  <c r="H40" i="3"/>
  <c r="G40" i="3"/>
  <c r="F40" i="3"/>
  <c r="E40" i="3"/>
  <c r="D40" i="3"/>
  <c r="C40" i="3"/>
  <c r="H39" i="3"/>
  <c r="G39" i="3"/>
  <c r="F39" i="3"/>
  <c r="E39" i="3"/>
  <c r="D39" i="3"/>
  <c r="C39" i="3"/>
  <c r="H38" i="3"/>
  <c r="G38" i="3"/>
  <c r="F38" i="3"/>
  <c r="E38" i="3"/>
  <c r="D38" i="3"/>
  <c r="C38" i="3"/>
  <c r="H37" i="3"/>
  <c r="G37" i="3"/>
  <c r="F37" i="3"/>
  <c r="E37" i="3"/>
  <c r="D37" i="3"/>
  <c r="C37" i="3"/>
  <c r="H36" i="3"/>
  <c r="G36" i="3"/>
  <c r="F36" i="3"/>
  <c r="E36" i="3"/>
  <c r="D36" i="3"/>
  <c r="C36" i="3"/>
  <c r="H35" i="3"/>
  <c r="G35" i="3"/>
  <c r="F35" i="3"/>
  <c r="E35" i="3"/>
  <c r="D35" i="3"/>
  <c r="C35" i="3"/>
  <c r="H34" i="3"/>
  <c r="G34" i="3"/>
  <c r="F34" i="3"/>
  <c r="E34" i="3"/>
  <c r="D34" i="3"/>
  <c r="C34" i="3"/>
  <c r="H33" i="3"/>
  <c r="G33" i="3"/>
  <c r="F33" i="3"/>
  <c r="E33" i="3"/>
  <c r="D33" i="3"/>
  <c r="C33" i="3"/>
  <c r="H32" i="3"/>
  <c r="G32" i="3"/>
  <c r="F32" i="3"/>
  <c r="E32" i="3"/>
  <c r="D32" i="3"/>
  <c r="C32" i="3"/>
  <c r="H31" i="3"/>
  <c r="G31" i="3"/>
  <c r="F31" i="3"/>
  <c r="E31" i="3"/>
  <c r="D31" i="3"/>
  <c r="C31" i="3"/>
  <c r="H30" i="3"/>
  <c r="G30" i="3"/>
  <c r="F30" i="3"/>
  <c r="E30" i="3"/>
  <c r="D30" i="3"/>
  <c r="C30" i="3"/>
  <c r="H29" i="3"/>
  <c r="G29" i="3"/>
  <c r="F29" i="3"/>
  <c r="E29" i="3"/>
  <c r="D29" i="3"/>
  <c r="C29" i="3"/>
  <c r="H28" i="3"/>
  <c r="G28" i="3"/>
  <c r="F28" i="3"/>
  <c r="E28" i="3"/>
  <c r="D28" i="3"/>
  <c r="C28" i="3"/>
  <c r="H27" i="3"/>
  <c r="G27" i="3"/>
  <c r="F27" i="3"/>
  <c r="E27" i="3"/>
  <c r="D27" i="3"/>
  <c r="C27" i="3"/>
  <c r="H26" i="3"/>
  <c r="G26" i="3"/>
  <c r="F26" i="3"/>
  <c r="E26" i="3"/>
  <c r="D26" i="3"/>
  <c r="C26" i="3"/>
  <c r="H25" i="3"/>
  <c r="G25" i="3"/>
  <c r="F25" i="3"/>
  <c r="E25" i="3"/>
  <c r="D25" i="3"/>
  <c r="C25" i="3"/>
  <c r="H24" i="3"/>
  <c r="G24" i="3"/>
  <c r="F24" i="3"/>
  <c r="E24" i="3"/>
  <c r="D24" i="3"/>
  <c r="C24" i="3"/>
  <c r="H23" i="3"/>
  <c r="G23" i="3"/>
  <c r="F23" i="3"/>
  <c r="E23" i="3"/>
  <c r="D23" i="3"/>
  <c r="C23" i="3"/>
  <c r="H22" i="3"/>
  <c r="G22" i="3"/>
  <c r="F22" i="3"/>
  <c r="E22" i="3"/>
  <c r="D22" i="3"/>
  <c r="C22" i="3"/>
  <c r="H21" i="3"/>
  <c r="G21" i="3"/>
  <c r="F21" i="3"/>
  <c r="E21" i="3"/>
  <c r="D21" i="3"/>
  <c r="C21" i="3"/>
  <c r="H20" i="3"/>
  <c r="G20" i="3"/>
  <c r="F20" i="3"/>
  <c r="E20" i="3"/>
  <c r="D20" i="3"/>
  <c r="C20" i="3"/>
  <c r="H19" i="3"/>
  <c r="G19" i="3"/>
  <c r="F19" i="3"/>
  <c r="E19" i="3"/>
  <c r="D19" i="3"/>
  <c r="C19" i="3"/>
  <c r="H18" i="3"/>
  <c r="G18" i="3"/>
  <c r="F18" i="3"/>
  <c r="E18" i="3"/>
  <c r="D18" i="3"/>
  <c r="C18" i="3"/>
  <c r="H17" i="3"/>
  <c r="G17" i="3"/>
  <c r="F17" i="3"/>
  <c r="E17" i="3"/>
  <c r="D17" i="3"/>
  <c r="C17" i="3"/>
  <c r="H16" i="3"/>
  <c r="G16" i="3"/>
  <c r="F16" i="3"/>
  <c r="E16" i="3"/>
  <c r="D16" i="3"/>
  <c r="C16" i="3"/>
  <c r="H15" i="3"/>
  <c r="G15" i="3"/>
  <c r="F15" i="3"/>
  <c r="E15" i="3"/>
  <c r="D15" i="3"/>
  <c r="C15" i="3"/>
  <c r="H14" i="3"/>
  <c r="G14" i="3"/>
  <c r="F14" i="3"/>
  <c r="E14" i="3"/>
  <c r="D14" i="3"/>
  <c r="C14" i="3"/>
  <c r="H13" i="3"/>
  <c r="G13" i="3"/>
  <c r="F13" i="3"/>
  <c r="E13" i="3"/>
  <c r="D13" i="3"/>
  <c r="C13" i="3"/>
  <c r="H12" i="3"/>
  <c r="G12" i="3"/>
  <c r="F12" i="3"/>
  <c r="E12" i="3"/>
  <c r="D12" i="3"/>
  <c r="C12" i="3"/>
  <c r="H11" i="3"/>
  <c r="G11" i="3"/>
  <c r="F11" i="3"/>
  <c r="E11" i="3"/>
  <c r="D11" i="3"/>
  <c r="C11" i="3"/>
  <c r="H10" i="3"/>
  <c r="G10" i="3"/>
  <c r="F10" i="3"/>
  <c r="E10" i="3"/>
  <c r="D10" i="3"/>
  <c r="C10" i="3"/>
  <c r="H9" i="3"/>
  <c r="G9" i="3"/>
  <c r="F9" i="3"/>
  <c r="E9" i="3"/>
  <c r="D9" i="3"/>
  <c r="C9" i="3"/>
  <c r="H8" i="3"/>
  <c r="G8" i="3"/>
  <c r="F8" i="3"/>
  <c r="E8" i="3"/>
  <c r="D8" i="3"/>
  <c r="C8" i="3"/>
  <c r="H7" i="3"/>
  <c r="G7" i="3"/>
  <c r="F7" i="3"/>
  <c r="E7" i="3"/>
  <c r="D7" i="3"/>
  <c r="C7" i="3"/>
  <c r="H6" i="3"/>
  <c r="G6" i="3"/>
  <c r="F6" i="3"/>
  <c r="E6" i="3"/>
  <c r="D6" i="3"/>
  <c r="C6" i="3"/>
  <c r="H5" i="3"/>
  <c r="G5" i="3"/>
  <c r="F5" i="3"/>
  <c r="E5" i="3"/>
  <c r="D5" i="3"/>
  <c r="C5" i="3"/>
  <c r="H4" i="3"/>
  <c r="G4" i="3"/>
  <c r="F4" i="3"/>
  <c r="E4" i="3"/>
  <c r="D4" i="3"/>
  <c r="C4" i="3"/>
  <c r="H3" i="3"/>
  <c r="G3" i="3"/>
  <c r="F3" i="3"/>
  <c r="E3" i="3"/>
  <c r="D3" i="3"/>
  <c r="C3" i="3"/>
  <c r="H2" i="3"/>
  <c r="G2" i="3"/>
  <c r="F2" i="3"/>
  <c r="E2" i="3"/>
  <c r="D2" i="3"/>
  <c r="C2" i="3"/>
  <c r="L24" i="10" l="1"/>
  <c r="L23" i="10"/>
  <c r="L20" i="10"/>
  <c r="L19" i="10"/>
  <c r="L17" i="10"/>
  <c r="L16" i="10"/>
  <c r="L15" i="10"/>
  <c r="L14" i="10"/>
  <c r="L13" i="10"/>
  <c r="L12" i="10"/>
  <c r="L11" i="10"/>
  <c r="L36" i="9"/>
  <c r="L34" i="9"/>
  <c r="L33" i="9"/>
  <c r="L29" i="9"/>
  <c r="L24" i="9"/>
  <c r="L21" i="9"/>
  <c r="L19" i="9"/>
  <c r="L16" i="9"/>
  <c r="L14" i="9"/>
  <c r="L27" i="9"/>
  <c r="L25" i="9"/>
  <c r="L22" i="9"/>
  <c r="L20" i="9"/>
  <c r="L18" i="9"/>
  <c r="L15" i="9"/>
  <c r="L13" i="9"/>
  <c r="L12" i="9"/>
  <c r="L11" i="9"/>
  <c r="L26" i="8"/>
  <c r="L25" i="8"/>
  <c r="L24" i="8"/>
  <c r="L23" i="8"/>
  <c r="L22" i="8"/>
  <c r="L21" i="8"/>
  <c r="L20" i="8"/>
  <c r="L19" i="8"/>
  <c r="L18" i="8"/>
  <c r="L17" i="8"/>
  <c r="L16" i="8"/>
  <c r="L15" i="8"/>
  <c r="L14" i="8"/>
  <c r="L13" i="8"/>
  <c r="L12" i="8"/>
  <c r="L11" i="8"/>
  <c r="L31" i="7"/>
  <c r="L25" i="4"/>
  <c r="L11" i="4"/>
  <c r="L30" i="7"/>
  <c r="L29" i="7"/>
  <c r="L28" i="7"/>
  <c r="L27" i="7"/>
  <c r="L26" i="7"/>
  <c r="L25" i="7"/>
  <c r="L24" i="7"/>
  <c r="L23" i="7"/>
  <c r="L22" i="7"/>
  <c r="L21" i="7"/>
  <c r="L20" i="7"/>
  <c r="L19" i="7"/>
  <c r="L18" i="7"/>
  <c r="L17" i="7"/>
  <c r="L16" i="7"/>
  <c r="L15" i="7"/>
  <c r="L14" i="7"/>
  <c r="L13" i="7"/>
  <c r="L12" i="7"/>
  <c r="L11" i="7"/>
  <c r="L24" i="5"/>
  <c r="L20" i="5"/>
  <c r="L17" i="5"/>
  <c r="L14" i="5"/>
  <c r="L11" i="5"/>
  <c r="L24" i="4"/>
  <c r="L19" i="4"/>
  <c r="L17" i="4"/>
  <c r="L32" i="6"/>
  <c r="L31" i="6"/>
  <c r="L30" i="6"/>
  <c r="L29" i="6"/>
  <c r="L28" i="6"/>
  <c r="L27" i="6"/>
  <c r="L26" i="6"/>
  <c r="L25" i="6"/>
  <c r="L24" i="6"/>
  <c r="L23" i="6"/>
  <c r="L22" i="6"/>
  <c r="L21" i="6"/>
  <c r="L20" i="6"/>
  <c r="L19" i="6"/>
  <c r="L18" i="6"/>
  <c r="L17" i="6"/>
  <c r="L16" i="6"/>
  <c r="L15" i="6"/>
  <c r="L14" i="6"/>
  <c r="L13" i="6"/>
  <c r="L12" i="6"/>
  <c r="L11" i="6"/>
  <c r="L26" i="5"/>
  <c r="L25" i="5"/>
  <c r="L23" i="5"/>
  <c r="L21" i="5"/>
  <c r="L19" i="5"/>
  <c r="L15" i="5"/>
  <c r="L12" i="4"/>
  <c r="L22" i="5"/>
  <c r="L18" i="5"/>
  <c r="L16" i="5"/>
  <c r="L13" i="5"/>
  <c r="L12" i="5"/>
  <c r="L16" i="4"/>
  <c r="L15" i="4"/>
  <c r="L14" i="4"/>
  <c r="L13" i="4"/>
  <c r="L23" i="4"/>
  <c r="L22" i="4"/>
  <c r="L21" i="4"/>
  <c r="L20" i="4"/>
  <c r="L18" i="4"/>
  <c r="H75" i="3"/>
  <c r="G75" i="3"/>
  <c r="L26" i="10"/>
  <c r="L25" i="10"/>
  <c r="L22" i="10"/>
  <c r="L21" i="10"/>
  <c r="L18" i="10"/>
  <c r="L37" i="9"/>
  <c r="L35" i="9"/>
  <c r="L32" i="9"/>
  <c r="L31" i="9"/>
  <c r="L30" i="9"/>
  <c r="L28" i="9"/>
  <c r="L26" i="9"/>
  <c r="L23" i="9"/>
  <c r="L1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tc={606D8101-B81A-4666-9B48-62AFD84E4215}</author>
  </authors>
  <commentList>
    <comment ref="D4" authorId="0" shapeId="0" xr:uid="{606D8101-B81A-4666-9B48-62AFD84E4215}">
      <text>
        <t>[스레드 댓글]
사용 중인 버전의 Excel에서 이 스레드 댓글을 읽을 수 있지만 파일을 이후 버전의 Excel에서 열면 편집 내용이 모두 제거됩니다. 자세한 정보: https://go.microsoft.com/fwlink/?linkid=870924.
댓글:
    완제품리스트 시트 참조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tc={87835B2A-5099-4696-A4BB-00AB9A714BD6}</author>
    <author>tc={AED8B72B-877B-44B5-B05B-99A129005DBA}</author>
  </authors>
  <commentList>
    <comment ref="G3" authorId="0" shapeId="0" xr:uid="{87835B2A-5099-4696-A4BB-00AB9A714BD6}">
      <text>
        <t>[스레드 댓글]
사용 중인 버전의 Excel에서 이 스레드 댓글을 읽을 수 있지만 파일을 이후 버전의 Excel에서 열면 편집 내용이 모두 제거됩니다. 자세한 정보: https://go.microsoft.com/fwlink/?linkid=870924.
댓글:
    원산지확인서(증명서)가 있다면 해당 국가를, 
없다면 "미상"으로 기재</t>
      </text>
    </comment>
    <comment ref="L3" authorId="1" shapeId="0" xr:uid="{AED8B72B-877B-44B5-B05B-99A129005DBA}">
      <text>
        <t>[스레드 댓글]
사용 중인 버전의 Excel에서 이 스레드 댓글을 읽을 수 있지만 파일을 이후 버전의 Excel에서 열면 편집 내용이 모두 제거됩니다. 자세한 정보: https://go.microsoft.com/fwlink/?linkid=870924.
댓글:
    거래명세서,
수입신고필증,
원산지확인서</t>
      </text>
    </comment>
  </commentList>
</comments>
</file>

<file path=xl/sharedStrings.xml><?xml version="1.0" encoding="utf-8"?>
<sst xmlns="http://schemas.openxmlformats.org/spreadsheetml/2006/main" count="1525" uniqueCount="576">
  <si>
    <t>구분</t>
  </si>
  <si>
    <t>모델</t>
  </si>
  <si>
    <t>자재관리코드</t>
  </si>
  <si>
    <t>품명</t>
  </si>
  <si>
    <t>기능 및 용도</t>
  </si>
  <si>
    <t>소요량</t>
  </si>
  <si>
    <t>구매처</t>
  </si>
  <si>
    <t>비고</t>
  </si>
  <si>
    <t>신조</t>
  </si>
  <si>
    <t>구  분</t>
  </si>
  <si>
    <t>완제품 코드</t>
  </si>
  <si>
    <t>HiNAS 제품 시리얼 넘버 형식</t>
  </si>
  <si>
    <t>대형상선용</t>
  </si>
  <si>
    <t>NS</t>
  </si>
  <si>
    <t>형식</t>
  </si>
  <si>
    <t>완제품 코드-서버 납품연도-일련번호</t>
  </si>
  <si>
    <t>ND</t>
  </si>
  <si>
    <t>서버 납품연도</t>
  </si>
  <si>
    <t>NB</t>
  </si>
  <si>
    <t>일련번호</t>
  </si>
  <si>
    <t>0001 부터 시작, 순차 증가</t>
  </si>
  <si>
    <t>MS</t>
  </si>
  <si>
    <t>제품 코드</t>
  </si>
  <si>
    <t>BOM 기준</t>
  </si>
  <si>
    <t>MD</t>
  </si>
  <si>
    <t>MB</t>
  </si>
  <si>
    <t>BS</t>
  </si>
  <si>
    <t>(신조) HiNAS SVM</t>
  </si>
  <si>
    <t>BD</t>
  </si>
  <si>
    <t>RNS</t>
  </si>
  <si>
    <t>RNB</t>
  </si>
  <si>
    <t>RMS</t>
  </si>
  <si>
    <t>(개조) HiNAS Control</t>
  </si>
  <si>
    <t>RMB</t>
  </si>
  <si>
    <t>RBS</t>
  </si>
  <si>
    <t>HiNAS Control</t>
  </si>
  <si>
    <t>HiNAS SVM</t>
  </si>
  <si>
    <t>개조</t>
  </si>
  <si>
    <t>소요부품(자재) 명세서(Bill of Materials)</t>
    <phoneticPr fontId="14" type="noConversion"/>
  </si>
  <si>
    <t xml:space="preserve"> </t>
    <phoneticPr fontId="14" type="noConversion"/>
  </si>
  <si>
    <t>□ 완제품 품명</t>
    <phoneticPr fontId="14" type="noConversion"/>
  </si>
  <si>
    <t>:</t>
    <phoneticPr fontId="4" type="noConversion"/>
  </si>
  <si>
    <t>(신조) HiNAS Navigation</t>
  </si>
  <si>
    <t>□ HS CODE</t>
    <phoneticPr fontId="4" type="noConversion"/>
  </si>
  <si>
    <t>□ 적용협정</t>
    <phoneticPr fontId="14" type="noConversion"/>
  </si>
  <si>
    <t>□ 원산지결정기준</t>
    <phoneticPr fontId="14" type="noConversion"/>
  </si>
  <si>
    <t>□ 원자재 사용내역</t>
    <phoneticPr fontId="14" type="noConversion"/>
  </si>
  <si>
    <t>연번</t>
    <phoneticPr fontId="14" type="noConversion"/>
  </si>
  <si>
    <t>자재관리코드</t>
    <phoneticPr fontId="4" type="noConversion"/>
  </si>
  <si>
    <t>품명(자재명)</t>
    <phoneticPr fontId="14" type="noConversion"/>
  </si>
  <si>
    <t>기능 및 용도</t>
    <phoneticPr fontId="4" type="noConversion"/>
  </si>
  <si>
    <t>세번부호
(HS No)</t>
    <phoneticPr fontId="14" type="noConversion"/>
  </si>
  <si>
    <t>원산지</t>
    <phoneticPr fontId="14" type="noConversion"/>
  </si>
  <si>
    <t>단위</t>
    <phoneticPr fontId="4" type="noConversion"/>
  </si>
  <si>
    <t>소요량</t>
    <phoneticPr fontId="14" type="noConversion"/>
  </si>
  <si>
    <t>통화</t>
    <phoneticPr fontId="4" type="noConversion"/>
  </si>
  <si>
    <t>단가</t>
    <phoneticPr fontId="4" type="noConversion"/>
  </si>
  <si>
    <t>단가</t>
    <phoneticPr fontId="14" type="noConversion"/>
  </si>
  <si>
    <t>가격</t>
    <phoneticPr fontId="14" type="noConversion"/>
  </si>
  <si>
    <t>구매처</t>
    <phoneticPr fontId="4" type="noConversion"/>
  </si>
  <si>
    <t>구매처</t>
    <phoneticPr fontId="14" type="noConversion"/>
  </si>
  <si>
    <t>입증서류</t>
    <phoneticPr fontId="14" type="noConversion"/>
  </si>
  <si>
    <t>비고</t>
    <phoneticPr fontId="14" type="noConversion"/>
  </si>
  <si>
    <t>SM0001</t>
    <phoneticPr fontId="4" type="noConversion"/>
  </si>
  <si>
    <t>SS0001</t>
  </si>
  <si>
    <t>SZ0013</t>
    <phoneticPr fontId="4" type="noConversion"/>
  </si>
  <si>
    <t>SC0004</t>
    <phoneticPr fontId="4" type="noConversion"/>
  </si>
  <si>
    <t>SC0010</t>
    <phoneticPr fontId="4" type="noConversion"/>
  </si>
  <si>
    <t>SC0002</t>
    <phoneticPr fontId="4" type="noConversion"/>
  </si>
  <si>
    <t>SC0003</t>
    <phoneticPr fontId="4" type="noConversion"/>
  </si>
  <si>
    <t>SC0005</t>
    <phoneticPr fontId="4" type="noConversion"/>
  </si>
  <si>
    <t>SS0003</t>
    <phoneticPr fontId="4" type="noConversion"/>
  </si>
  <si>
    <t>SZ0012</t>
    <phoneticPr fontId="4" type="noConversion"/>
  </si>
  <si>
    <t>SZ0014</t>
    <phoneticPr fontId="4" type="noConversion"/>
  </si>
  <si>
    <t>SB0002</t>
    <phoneticPr fontId="4" type="noConversion"/>
  </si>
  <si>
    <t>SE0003</t>
    <phoneticPr fontId="4" type="noConversion"/>
  </si>
  <si>
    <t>SZ0019</t>
  </si>
  <si>
    <t>SZ0020</t>
  </si>
  <si>
    <t>※ 자유무역협정의 이행을 위한, 원산지 증명서 관련업무 제출을 위하여 작성, 확인합니다.</t>
  </si>
  <si>
    <t>작성자:                                                      ( 서명 )</t>
    <phoneticPr fontId="14" type="noConversion"/>
  </si>
  <si>
    <t>(신조) HiNAS Navigation/DOM</t>
  </si>
  <si>
    <t>SM0002</t>
    <phoneticPr fontId="4" type="noConversion"/>
  </si>
  <si>
    <t>SB0004</t>
    <phoneticPr fontId="4" type="noConversion"/>
  </si>
  <si>
    <t>SZ0012</t>
  </si>
  <si>
    <t>SZ0014</t>
  </si>
  <si>
    <t>SM0003</t>
    <phoneticPr fontId="4" type="noConversion"/>
  </si>
  <si>
    <t>SS0002</t>
  </si>
  <si>
    <t>SZ0006</t>
    <phoneticPr fontId="4" type="noConversion"/>
  </si>
  <si>
    <t>SZ0007</t>
    <phoneticPr fontId="4" type="noConversion"/>
  </si>
  <si>
    <t>SB0002</t>
  </si>
  <si>
    <t>SB0006</t>
    <phoneticPr fontId="4" type="noConversion"/>
  </si>
  <si>
    <t>SB0013</t>
  </si>
  <si>
    <t>SB0011</t>
    <phoneticPr fontId="4" type="noConversion"/>
  </si>
  <si>
    <t>SE0001</t>
    <phoneticPr fontId="4" type="noConversion"/>
  </si>
  <si>
    <t>SC0020</t>
    <phoneticPr fontId="4" type="noConversion"/>
  </si>
  <si>
    <t>SC0016</t>
    <phoneticPr fontId="4" type="noConversion"/>
  </si>
  <si>
    <t>SC0018</t>
    <phoneticPr fontId="4" type="noConversion"/>
  </si>
  <si>
    <t>SC0019</t>
    <phoneticPr fontId="4" type="noConversion"/>
  </si>
  <si>
    <t>SB0022</t>
    <phoneticPr fontId="4" type="noConversion"/>
  </si>
  <si>
    <t>SB0025</t>
    <phoneticPr fontId="4" type="noConversion"/>
  </si>
  <si>
    <t>SC0006</t>
  </si>
  <si>
    <t>SB0022</t>
  </si>
  <si>
    <t>SZ0017</t>
    <phoneticPr fontId="4" type="noConversion"/>
  </si>
  <si>
    <t>SB0021</t>
    <phoneticPr fontId="4" type="noConversion"/>
  </si>
  <si>
    <t>SB0014</t>
    <phoneticPr fontId="4" type="noConversion"/>
  </si>
  <si>
    <t>SZ0002</t>
  </si>
  <si>
    <t>SZ0010</t>
    <phoneticPr fontId="4" type="noConversion"/>
  </si>
  <si>
    <t>SB0008</t>
    <phoneticPr fontId="4" type="noConversion"/>
  </si>
  <si>
    <t>SB0015</t>
  </si>
  <si>
    <t>SZ0021</t>
  </si>
  <si>
    <t>(개조) HiNAS Control/SVM</t>
  </si>
  <si>
    <t>RMB</t>
    <phoneticPr fontId="4" type="noConversion"/>
  </si>
  <si>
    <t>SB0007</t>
    <phoneticPr fontId="4" type="noConversion"/>
  </si>
  <si>
    <t>SZ0001</t>
  </si>
  <si>
    <t>SZ0003</t>
  </si>
  <si>
    <t>SZ0005</t>
    <phoneticPr fontId="4" type="noConversion"/>
  </si>
  <si>
    <t>SZ0004</t>
    <phoneticPr fontId="4" type="noConversion"/>
  </si>
  <si>
    <t>SM0005</t>
    <phoneticPr fontId="4" type="noConversion"/>
  </si>
  <si>
    <t>SS0009</t>
  </si>
  <si>
    <t>RMS</t>
    <phoneticPr fontId="4" type="noConversion"/>
  </si>
  <si>
    <t>SM0001</t>
  </si>
  <si>
    <t>SZ0005</t>
  </si>
  <si>
    <t>자재리스트</t>
    <phoneticPr fontId="4" type="noConversion"/>
  </si>
  <si>
    <t>Maker Part Number</t>
    <phoneticPr fontId="4" type="noConversion"/>
  </si>
  <si>
    <t>비 고(부연설명)</t>
    <phoneticPr fontId="14" type="noConversion"/>
  </si>
  <si>
    <t>모델명</t>
    <phoneticPr fontId="14" type="noConversion"/>
  </si>
  <si>
    <t>-</t>
    <phoneticPr fontId="4" type="noConversion"/>
  </si>
  <si>
    <t>Monitor</t>
    <phoneticPr fontId="4" type="noConversion"/>
  </si>
  <si>
    <t>SM0001-MON01</t>
  </si>
  <si>
    <t>27인치 모니터</t>
    <phoneticPr fontId="4" type="noConversion"/>
  </si>
  <si>
    <t xml:space="preserve"> - </t>
    <phoneticPr fontId="4" type="noConversion"/>
  </si>
  <si>
    <t>한국</t>
  </si>
  <si>
    <t>개</t>
  </si>
  <si>
    <t>KRW</t>
  </si>
  <si>
    <t>MRC/테트라다인</t>
    <phoneticPr fontId="4" type="noConversion"/>
  </si>
  <si>
    <t>거래명세서</t>
  </si>
  <si>
    <t>RCU, RCU cable, RS485 cable, bracket 포함</t>
    <phoneticPr fontId="4" type="noConversion"/>
  </si>
  <si>
    <t>TIMX-W270</t>
  </si>
  <si>
    <t>①</t>
    <phoneticPr fontId="4" type="noConversion"/>
  </si>
  <si>
    <t>②</t>
    <phoneticPr fontId="4" type="noConversion"/>
  </si>
  <si>
    <t>③</t>
    <phoneticPr fontId="4" type="noConversion"/>
  </si>
  <si>
    <t>④</t>
    <phoneticPr fontId="4" type="noConversion"/>
  </si>
  <si>
    <t>SM0002</t>
  </si>
  <si>
    <t>SM0004-DOM02</t>
  </si>
  <si>
    <t>DOM 58.4인치 모니터</t>
    <phoneticPr fontId="4" type="noConversion"/>
  </si>
  <si>
    <t>TIMX-UW584</t>
  </si>
  <si>
    <t>SM0003-MON02</t>
  </si>
  <si>
    <t>32인치 모니터</t>
    <phoneticPr fontId="4" type="noConversion"/>
  </si>
  <si>
    <t>TIMX-W320</t>
  </si>
  <si>
    <t>① 용도 구분</t>
    <phoneticPr fontId="4" type="noConversion"/>
  </si>
  <si>
    <t>SM0004</t>
    <phoneticPr fontId="4" type="noConversion"/>
  </si>
  <si>
    <t>SM0004-DOM01</t>
  </si>
  <si>
    <t>DOM 49.5인치 모니터</t>
    <phoneticPr fontId="4" type="noConversion"/>
  </si>
  <si>
    <t>TIMX-UW495</t>
  </si>
  <si>
    <t>S</t>
    <phoneticPr fontId="4" type="noConversion"/>
  </si>
  <si>
    <t>: 상선제품용</t>
    <phoneticPr fontId="4" type="noConversion"/>
  </si>
  <si>
    <t>Tablet PC</t>
  </si>
  <si>
    <t>SM0005-TAB01</t>
  </si>
  <si>
    <t>Portable 모니터</t>
    <phoneticPr fontId="4" type="noConversion"/>
  </si>
  <si>
    <t>컴퓨존</t>
    <phoneticPr fontId="4" type="noConversion"/>
  </si>
  <si>
    <t>COVER CASE, POWER ADAPTER 포함</t>
    <phoneticPr fontId="4" type="noConversion"/>
  </si>
  <si>
    <t>SM-X520NZAAKOO</t>
  </si>
  <si>
    <t>B</t>
    <phoneticPr fontId="4" type="noConversion"/>
  </si>
  <si>
    <t>: 보트제품용</t>
    <phoneticPr fontId="4" type="noConversion"/>
  </si>
  <si>
    <t>SM0006</t>
    <phoneticPr fontId="4" type="noConversion"/>
  </si>
  <si>
    <t>Dimmer Switch</t>
  </si>
  <si>
    <t>SM0006-DIM01</t>
  </si>
  <si>
    <t>DOM 모니터 Dimming</t>
    <phoneticPr fontId="4" type="noConversion"/>
  </si>
  <si>
    <t>58.4인치</t>
    <phoneticPr fontId="4" type="noConversion"/>
  </si>
  <si>
    <t>TD-RCU</t>
  </si>
  <si>
    <t>C</t>
    <phoneticPr fontId="4" type="noConversion"/>
  </si>
  <si>
    <t>: 공용</t>
    <phoneticPr fontId="4" type="noConversion"/>
  </si>
  <si>
    <t>SM0007</t>
    <phoneticPr fontId="4" type="noConversion"/>
  </si>
  <si>
    <t>SM0007-DIM02</t>
  </si>
  <si>
    <t>모니터 Dimming</t>
    <phoneticPr fontId="4" type="noConversion"/>
  </si>
  <si>
    <t>32인치</t>
    <phoneticPr fontId="4" type="noConversion"/>
  </si>
  <si>
    <t>SM0008</t>
    <phoneticPr fontId="4" type="noConversion"/>
  </si>
  <si>
    <t>SM0008-SVM01</t>
    <phoneticPr fontId="4" type="noConversion"/>
  </si>
  <si>
    <t>SVM 24인치 모니터</t>
    <phoneticPr fontId="4" type="noConversion"/>
  </si>
  <si>
    <t>아르게스마린</t>
    <phoneticPr fontId="4" type="noConversion"/>
  </si>
  <si>
    <t>② 품목군 분류</t>
    <phoneticPr fontId="4" type="noConversion"/>
  </si>
  <si>
    <t>SM0009</t>
    <phoneticPr fontId="4" type="noConversion"/>
  </si>
  <si>
    <t>SM0009-DOM03</t>
    <phoneticPr fontId="4" type="noConversion"/>
  </si>
  <si>
    <t>일진앤드</t>
    <phoneticPr fontId="4" type="noConversion"/>
  </si>
  <si>
    <t>인보이스</t>
    <phoneticPr fontId="4" type="noConversion"/>
  </si>
  <si>
    <t>M: 모니터</t>
  </si>
  <si>
    <t>L: 거리 측정 및 확장</t>
  </si>
  <si>
    <t>S: 서버PC</t>
  </si>
  <si>
    <t>B: 허브 및 스위치</t>
  </si>
  <si>
    <t>SS0001</t>
    <phoneticPr fontId="4" type="noConversion"/>
  </si>
  <si>
    <t>Server</t>
    <phoneticPr fontId="4" type="noConversion"/>
  </si>
  <si>
    <t>SS0001-SER02</t>
  </si>
  <si>
    <t>메인 서버</t>
    <phoneticPr fontId="4" type="noConversion"/>
  </si>
  <si>
    <t>중국</t>
    <phoneticPr fontId="4" type="noConversion"/>
  </si>
  <si>
    <t>테트라다인</t>
    <phoneticPr fontId="4" type="noConversion"/>
  </si>
  <si>
    <t xml:space="preserve"> Dell PC OptiPlex XE4 Tower (i7)</t>
  </si>
  <si>
    <t>C: 카메라 및 구성품</t>
  </si>
  <si>
    <t>Z: ETC</t>
  </si>
  <si>
    <t>Client</t>
    <phoneticPr fontId="4" type="noConversion"/>
  </si>
  <si>
    <t>SS0002-SER03</t>
  </si>
  <si>
    <t>클라이언트 서버</t>
    <phoneticPr fontId="4" type="noConversion"/>
  </si>
  <si>
    <t xml:space="preserve"> Dell PC OptiPlex XE4 Tower (i5)</t>
  </si>
  <si>
    <t>E: 전원/통신 공급 및 연동</t>
  </si>
  <si>
    <t>Single Board Computer</t>
    <phoneticPr fontId="4" type="noConversion"/>
  </si>
  <si>
    <t>SS0003-SBC01</t>
  </si>
  <si>
    <t>카메라와 서버 연동</t>
  </si>
  <si>
    <t>인도</t>
  </si>
  <si>
    <t>KRW</t>
    <phoneticPr fontId="4" type="noConversion"/>
  </si>
  <si>
    <t>사이더스/e-con</t>
  </si>
  <si>
    <t>HUBBLE_CARRIER_BRD_BX</t>
    <phoneticPr fontId="4" type="noConversion"/>
  </si>
  <si>
    <t>SS0004</t>
    <phoneticPr fontId="4" type="noConversion"/>
  </si>
  <si>
    <t>SS0004-SBC02</t>
    <phoneticPr fontId="4" type="noConversion"/>
  </si>
  <si>
    <t>NANO</t>
    <phoneticPr fontId="4" type="noConversion"/>
  </si>
  <si>
    <t>③ 일련번호 순차 채번(0001~9999)</t>
    <phoneticPr fontId="4" type="noConversion"/>
  </si>
  <si>
    <t>SC0001</t>
  </si>
  <si>
    <t>EO camera</t>
  </si>
  <si>
    <t>SC0001-EOC01</t>
  </si>
  <si>
    <t>광학 카메라</t>
  </si>
  <si>
    <t>w. GMSL cable</t>
    <phoneticPr fontId="4" type="noConversion"/>
  </si>
  <si>
    <t>NileCAM21_CUXVR</t>
    <phoneticPr fontId="4" type="noConversion"/>
  </si>
  <si>
    <t>④ 동일 자재 구분 번호(01~99)</t>
    <phoneticPr fontId="4" type="noConversion"/>
  </si>
  <si>
    <t>SC0002</t>
  </si>
  <si>
    <t>IR camera</t>
  </si>
  <si>
    <t>SC0002-IRC01</t>
  </si>
  <si>
    <t>열화상 카메라</t>
  </si>
  <si>
    <t>미국</t>
  </si>
  <si>
    <t>IRKEN/FLIR</t>
    <phoneticPr fontId="4" type="noConversion"/>
  </si>
  <si>
    <t>w. VPC KIT</t>
    <phoneticPr fontId="4" type="noConversion"/>
  </si>
  <si>
    <t>Boson640-8.7mm</t>
    <phoneticPr fontId="4" type="noConversion"/>
  </si>
  <si>
    <t>IR camera window</t>
    <phoneticPr fontId="4" type="noConversion"/>
  </si>
  <si>
    <t>SC0003-IWN01</t>
  </si>
  <si>
    <t>열화상 카메라 윈도우</t>
    <phoneticPr fontId="4" type="noConversion"/>
  </si>
  <si>
    <t>센서캠</t>
    <phoneticPr fontId="4" type="noConversion"/>
  </si>
  <si>
    <t>1세대 용 (직경 42mm)</t>
    <phoneticPr fontId="4" type="noConversion"/>
  </si>
  <si>
    <t>NAS camera housing</t>
    <phoneticPr fontId="4" type="noConversion"/>
  </si>
  <si>
    <t>SC0004-NCH01</t>
    <phoneticPr fontId="4" type="noConversion"/>
  </si>
  <si>
    <t>하우징</t>
  </si>
  <si>
    <t>MRC</t>
  </si>
  <si>
    <t>V1.0</t>
    <phoneticPr fontId="4" type="noConversion"/>
  </si>
  <si>
    <t>NAS junction box</t>
    <phoneticPr fontId="4" type="noConversion"/>
  </si>
  <si>
    <t>SC0005-NJB01</t>
    <phoneticPr fontId="4" type="noConversion"/>
  </si>
  <si>
    <t>정션박스</t>
  </si>
  <si>
    <t>SC0006</t>
    <phoneticPr fontId="4" type="noConversion"/>
  </si>
  <si>
    <t>IP camera</t>
    <phoneticPr fontId="4" type="noConversion"/>
  </si>
  <si>
    <t>SC0006-IPC01</t>
    <phoneticPr fontId="4" type="noConversion"/>
  </si>
  <si>
    <t>카메라</t>
    <phoneticPr fontId="4" type="noConversion"/>
  </si>
  <si>
    <t>GC-F12BN</t>
    <phoneticPr fontId="4" type="noConversion"/>
  </si>
  <si>
    <t>SC0007</t>
    <phoneticPr fontId="4" type="noConversion"/>
  </si>
  <si>
    <t>IP camera</t>
  </si>
  <si>
    <t>SC0007-AIC02</t>
    <phoneticPr fontId="4" type="noConversion"/>
  </si>
  <si>
    <t>방폭카메라</t>
    <phoneticPr fontId="4" type="noConversion"/>
  </si>
  <si>
    <t>GC-XFBN-12F</t>
    <phoneticPr fontId="4" type="noConversion"/>
  </si>
  <si>
    <t>SC0008</t>
    <phoneticPr fontId="4" type="noConversion"/>
  </si>
  <si>
    <t>IP camera housing</t>
  </si>
  <si>
    <t>SC0008-ICH01</t>
  </si>
  <si>
    <t>카메라 하우징</t>
    <phoneticPr fontId="4" type="noConversion"/>
  </si>
  <si>
    <t>SC0009</t>
    <phoneticPr fontId="4" type="noConversion"/>
  </si>
  <si>
    <t>IP camera housing</t>
    <phoneticPr fontId="4" type="noConversion"/>
  </si>
  <si>
    <t>SC0009-ACH02</t>
  </si>
  <si>
    <t>방폭카메라 하우징</t>
    <phoneticPr fontId="4" type="noConversion"/>
  </si>
  <si>
    <t>AVEC-ExDome-M04</t>
    <phoneticPr fontId="4" type="noConversion"/>
  </si>
  <si>
    <t>EO Camera</t>
    <phoneticPr fontId="4" type="noConversion"/>
  </si>
  <si>
    <t>SC0010-EOC02</t>
  </si>
  <si>
    <t>광학 카메라(4K)</t>
    <phoneticPr fontId="4" type="noConversion"/>
  </si>
  <si>
    <t>STURDeCAM81</t>
    <phoneticPr fontId="4" type="noConversion"/>
  </si>
  <si>
    <t>SC0011</t>
  </si>
  <si>
    <t>LiDAR bracket</t>
    <phoneticPr fontId="4" type="noConversion"/>
  </si>
  <si>
    <t>SC0011-LBR01</t>
  </si>
  <si>
    <t>브라켓</t>
    <phoneticPr fontId="4" type="noConversion"/>
  </si>
  <si>
    <t>SC0012</t>
  </si>
  <si>
    <t>SC0012-EOC03</t>
    <phoneticPr fontId="4" type="noConversion"/>
  </si>
  <si>
    <t>광학 카메라(BAS)</t>
    <phoneticPr fontId="4" type="noConversion"/>
  </si>
  <si>
    <t>See3CAM_CU135_CH_TC</t>
    <phoneticPr fontId="4" type="noConversion"/>
  </si>
  <si>
    <t>SC0013</t>
  </si>
  <si>
    <t>SC0013-ICH02</t>
    <phoneticPr fontId="4" type="noConversion"/>
  </si>
  <si>
    <t>카메라 하우징(AS) - 사각타입</t>
  </si>
  <si>
    <t>IP CAMERA housing V1.0</t>
    <phoneticPr fontId="4" type="noConversion"/>
  </si>
  <si>
    <t>SC0014</t>
    <phoneticPr fontId="4" type="noConversion"/>
  </si>
  <si>
    <t>SC0014-IPC02</t>
    <phoneticPr fontId="4" type="noConversion"/>
  </si>
  <si>
    <t>카메라 하우징(AS) - 원형타입</t>
    <phoneticPr fontId="4" type="noConversion"/>
  </si>
  <si>
    <t>IP CAMERA with housing V2.0</t>
    <phoneticPr fontId="4" type="noConversion"/>
  </si>
  <si>
    <t>SC0015</t>
    <phoneticPr fontId="4" type="noConversion"/>
  </si>
  <si>
    <t>SC0015-ICH03</t>
    <phoneticPr fontId="4" type="noConversion"/>
  </si>
  <si>
    <t>IP CAMERA housing V1.0 (회수)</t>
    <phoneticPr fontId="4" type="noConversion"/>
  </si>
  <si>
    <t>NAS Camera housing cable</t>
  </si>
  <si>
    <t>SC0016-CAB01</t>
    <phoneticPr fontId="4" type="noConversion"/>
  </si>
  <si>
    <t xml:space="preserve">2세대 카메라하우징 케이블 </t>
    <phoneticPr fontId="4" type="noConversion"/>
  </si>
  <si>
    <t>미림테크놀러지</t>
    <phoneticPr fontId="4" type="noConversion"/>
  </si>
  <si>
    <t>SC0017</t>
    <phoneticPr fontId="4" type="noConversion"/>
  </si>
  <si>
    <t>SC0017-IPC03</t>
    <phoneticPr fontId="4" type="noConversion"/>
  </si>
  <si>
    <t>카메라(AS)</t>
    <phoneticPr fontId="4" type="noConversion"/>
  </si>
  <si>
    <t>MRC</t>
    <phoneticPr fontId="4" type="noConversion"/>
  </si>
  <si>
    <t>XNF-8010RV</t>
    <phoneticPr fontId="4" type="noConversion"/>
  </si>
  <si>
    <t>SC0018</t>
  </si>
  <si>
    <t>SC0018-EOC03</t>
    <phoneticPr fontId="4" type="noConversion"/>
  </si>
  <si>
    <t>한국</t>
    <phoneticPr fontId="4" type="noConversion"/>
  </si>
  <si>
    <t>세트</t>
    <phoneticPr fontId="4" type="noConversion"/>
  </si>
  <si>
    <t>거래명세서</t>
    <phoneticPr fontId="4" type="noConversion"/>
  </si>
  <si>
    <t>w. IR Ip-board, EO glass, Receptacle harness, Waterproof cap</t>
    <phoneticPr fontId="4" type="noConversion"/>
  </si>
  <si>
    <t>2BN module(일체)</t>
    <phoneticPr fontId="4" type="noConversion"/>
  </si>
  <si>
    <t>SC0019</t>
  </si>
  <si>
    <t>SC0019-IWN02</t>
    <phoneticPr fontId="4" type="noConversion"/>
  </si>
  <si>
    <t>개</t>
    <phoneticPr fontId="4" type="noConversion"/>
  </si>
  <si>
    <t>2세대 용 (직경 45mm)</t>
    <phoneticPr fontId="4" type="noConversion"/>
  </si>
  <si>
    <t>SC0020-NCH02</t>
    <phoneticPr fontId="4" type="noConversion"/>
  </si>
  <si>
    <t>V2.0</t>
    <phoneticPr fontId="4" type="noConversion"/>
  </si>
  <si>
    <t>SB0001</t>
  </si>
  <si>
    <t>L2 Switch</t>
  </si>
  <si>
    <t>SB0001-L2S01</t>
  </si>
  <si>
    <t>허브</t>
  </si>
  <si>
    <t>Aruba 1430 (R8R45A)</t>
    <phoneticPr fontId="4" type="noConversion"/>
  </si>
  <si>
    <t>Network switch</t>
    <phoneticPr fontId="4" type="noConversion"/>
  </si>
  <si>
    <t>SB0002-L2S02</t>
  </si>
  <si>
    <t>허브 (선급인증품)</t>
    <phoneticPr fontId="4" type="noConversion"/>
  </si>
  <si>
    <t>여의시스템</t>
    <phoneticPr fontId="4" type="noConversion"/>
  </si>
  <si>
    <t>EDS-G508E</t>
    <phoneticPr fontId="4" type="noConversion"/>
  </si>
  <si>
    <t>SB0003</t>
    <phoneticPr fontId="4" type="noConversion"/>
  </si>
  <si>
    <t>Firewall</t>
  </si>
  <si>
    <t>SB0003-FIR01</t>
  </si>
  <si>
    <t>방화벽</t>
  </si>
  <si>
    <t>SB0004-FIR02</t>
  </si>
  <si>
    <t>방화벽 (선급인증품)</t>
    <phoneticPr fontId="4" type="noConversion"/>
  </si>
  <si>
    <t>FGR-60F</t>
    <phoneticPr fontId="4" type="noConversion"/>
  </si>
  <si>
    <t>SB0005</t>
    <phoneticPr fontId="4" type="noConversion"/>
  </si>
  <si>
    <t>Serial to Ethernet</t>
    <phoneticPr fontId="4" type="noConversion"/>
  </si>
  <si>
    <t>SB0005-SCO02</t>
  </si>
  <si>
    <t>시리얼 통신을 LAN으로 변환</t>
    <phoneticPr fontId="4" type="noConversion"/>
  </si>
  <si>
    <t>MDCU</t>
    <phoneticPr fontId="4" type="noConversion"/>
  </si>
  <si>
    <t>SB0006-SCO01</t>
  </si>
  <si>
    <t>NPort5450i</t>
    <phoneticPr fontId="4" type="noConversion"/>
  </si>
  <si>
    <t>PoE HUB</t>
    <phoneticPr fontId="4" type="noConversion"/>
  </si>
  <si>
    <t>SB0007-POE02</t>
  </si>
  <si>
    <t>IP 카메라에 전원 공급</t>
    <phoneticPr fontId="4" type="noConversion"/>
  </si>
  <si>
    <t>제씨테크</t>
  </si>
  <si>
    <t>w. SMPS</t>
    <phoneticPr fontId="4" type="noConversion"/>
  </si>
  <si>
    <t>IGS-4215-4P4T</t>
    <phoneticPr fontId="4" type="noConversion"/>
  </si>
  <si>
    <t>LRP</t>
    <phoneticPr fontId="4" type="noConversion"/>
  </si>
  <si>
    <t>SB0008-LRP02</t>
  </si>
  <si>
    <t>LAN 통신 거리 연장 및 전원공급</t>
    <phoneticPr fontId="4" type="noConversion"/>
  </si>
  <si>
    <t>LRP-101U-KIT</t>
    <phoneticPr fontId="4" type="noConversion"/>
  </si>
  <si>
    <t>SB0009</t>
    <phoneticPr fontId="4" type="noConversion"/>
  </si>
  <si>
    <t>PoE-E201</t>
  </si>
  <si>
    <t>SB0009-REP01</t>
  </si>
  <si>
    <t>LAN 통신 거리 연장</t>
  </si>
  <si>
    <t>SB0010</t>
    <phoneticPr fontId="4" type="noConversion"/>
  </si>
  <si>
    <t>PoE-E202</t>
  </si>
  <si>
    <t>SB0010-REP02</t>
  </si>
  <si>
    <t>LAN 통신 거리 연장</t>
    <phoneticPr fontId="4" type="noConversion"/>
  </si>
  <si>
    <t>Selector Switch</t>
    <phoneticPr fontId="4" type="noConversion"/>
  </si>
  <si>
    <t>SB0011-MSW01</t>
  </si>
  <si>
    <t>HiNAS control 선택 스위치</t>
    <phoneticPr fontId="4" type="noConversion"/>
  </si>
  <si>
    <t>USD</t>
    <phoneticPr fontId="4" type="noConversion"/>
  </si>
  <si>
    <t>MRC/YDK</t>
    <phoneticPr fontId="4" type="noConversion"/>
  </si>
  <si>
    <t>YOKOGAWA (w. DIMMER BOX)</t>
    <phoneticPr fontId="4" type="noConversion"/>
  </si>
  <si>
    <t>MPH731</t>
  </si>
  <si>
    <t>SB0012</t>
    <phoneticPr fontId="4" type="noConversion"/>
  </si>
  <si>
    <t>LiDAR</t>
  </si>
  <si>
    <t>SB0012-LID01</t>
  </si>
  <si>
    <t>선박과 안벽간 거리 측정 장비</t>
    <phoneticPr fontId="4" type="noConversion"/>
  </si>
  <si>
    <t>OUSTER</t>
  </si>
  <si>
    <t>OS1-32U</t>
  </si>
  <si>
    <t>SB0013</t>
    <phoneticPr fontId="4" type="noConversion"/>
  </si>
  <si>
    <t>Actisense OPTO-4</t>
    <phoneticPr fontId="4" type="noConversion"/>
  </si>
  <si>
    <t>SB0002-L2S03</t>
  </si>
  <si>
    <t>MOXA NPort5450i 케이블</t>
    <phoneticPr fontId="4" type="noConversion"/>
  </si>
  <si>
    <t>마린크래프트</t>
    <phoneticPr fontId="4" type="noConversion"/>
  </si>
  <si>
    <t>Actisense OPTO-4</t>
  </si>
  <si>
    <t>UNO2-PS-1AC-48DC-240W</t>
    <phoneticPr fontId="4" type="noConversion"/>
  </si>
  <si>
    <t>SB0014-PSU02</t>
    <phoneticPr fontId="4" type="noConversion"/>
  </si>
  <si>
    <t>PoE HUB용 240W 파워 서플라이</t>
    <phoneticPr fontId="4" type="noConversion"/>
  </si>
  <si>
    <t>세종전자</t>
    <phoneticPr fontId="4" type="noConversion"/>
  </si>
  <si>
    <t>UNO2-PS-1AC-48DC-240W</t>
  </si>
  <si>
    <t>SB0015</t>
    <phoneticPr fontId="4" type="noConversion"/>
  </si>
  <si>
    <t>UNO-PS-1AC-48DC-60W</t>
    <phoneticPr fontId="4" type="noConversion"/>
  </si>
  <si>
    <t>SB0015-PSU03</t>
    <phoneticPr fontId="4" type="noConversion"/>
  </si>
  <si>
    <t>LRP용 60W 파워 서플라이</t>
    <phoneticPr fontId="4" type="noConversion"/>
  </si>
  <si>
    <t>UNO-PS-1AC-48DC-60W</t>
  </si>
  <si>
    <t>SB0016</t>
    <phoneticPr fontId="4" type="noConversion"/>
  </si>
  <si>
    <t>DIN RAIL STOPPER</t>
    <phoneticPr fontId="4" type="noConversion"/>
  </si>
  <si>
    <t>SB0016-BRK01</t>
    <phoneticPr fontId="4" type="noConversion"/>
  </si>
  <si>
    <t>파워서플라이 설치 후 고정용</t>
    <phoneticPr fontId="4" type="noConversion"/>
  </si>
  <si>
    <t>SB0017</t>
  </si>
  <si>
    <t>DIN RAIL BRACKET</t>
    <phoneticPr fontId="4" type="noConversion"/>
  </si>
  <si>
    <t>SB0017-BRK02</t>
    <phoneticPr fontId="4" type="noConversion"/>
  </si>
  <si>
    <t>LRP 설치용 브라켓</t>
    <phoneticPr fontId="4" type="noConversion"/>
  </si>
  <si>
    <t>제씨테크</t>
    <phoneticPr fontId="4" type="noConversion"/>
  </si>
  <si>
    <t>SB0018</t>
    <phoneticPr fontId="4" type="noConversion"/>
  </si>
  <si>
    <t>SB0018-SCO03</t>
    <phoneticPr fontId="4" type="noConversion"/>
  </si>
  <si>
    <t>NPort 5650-8-DT</t>
    <phoneticPr fontId="4" type="noConversion"/>
  </si>
  <si>
    <t>SB0019</t>
    <phoneticPr fontId="4" type="noConversion"/>
  </si>
  <si>
    <t>SB0019-SCO04</t>
    <phoneticPr fontId="4" type="noConversion"/>
  </si>
  <si>
    <t>NPort 5650I-8-DT</t>
    <phoneticPr fontId="4" type="noConversion"/>
  </si>
  <si>
    <t>SB0020</t>
  </si>
  <si>
    <t>SB0020-SCO05</t>
    <phoneticPr fontId="4" type="noConversion"/>
  </si>
  <si>
    <t>NPort 6650-16</t>
    <phoneticPr fontId="4" type="noConversion"/>
  </si>
  <si>
    <t>PoE-Extender</t>
    <phoneticPr fontId="4" type="noConversion"/>
  </si>
  <si>
    <t>SB0021-REP03</t>
    <phoneticPr fontId="4" type="noConversion"/>
  </si>
  <si>
    <t>INTERCOAX EPR-1001</t>
    <phoneticPr fontId="4" type="noConversion"/>
  </si>
  <si>
    <t>Network PoE Switch</t>
    <phoneticPr fontId="4" type="noConversion"/>
  </si>
  <si>
    <t>SB0022-POE03</t>
    <phoneticPr fontId="4" type="noConversion"/>
  </si>
  <si>
    <t>EDS-G4012-8P-4QGS-LVB</t>
    <phoneticPr fontId="4" type="noConversion"/>
  </si>
  <si>
    <t>SB0023</t>
  </si>
  <si>
    <t>SB0023-SCO03</t>
    <phoneticPr fontId="4" type="noConversion"/>
  </si>
  <si>
    <t>M GATE MB3270</t>
    <phoneticPr fontId="4" type="noConversion"/>
  </si>
  <si>
    <t>SB0024</t>
    <phoneticPr fontId="4" type="noConversion"/>
  </si>
  <si>
    <t>SB0024-LRP03</t>
    <phoneticPr fontId="4" type="noConversion"/>
  </si>
  <si>
    <t>LRP-111U-KIT</t>
    <phoneticPr fontId="4" type="noConversion"/>
  </si>
  <si>
    <t>SB0025</t>
  </si>
  <si>
    <t>UNO2-PS-1AC-24DC-240W</t>
    <phoneticPr fontId="4" type="noConversion"/>
  </si>
  <si>
    <t>SB0025-PSU04</t>
    <phoneticPr fontId="4" type="noConversion"/>
  </si>
  <si>
    <t>POE SWITCH 용 240W 파워 서플라이</t>
    <phoneticPr fontId="4" type="noConversion"/>
  </si>
  <si>
    <t xml:space="preserve"> - </t>
  </si>
  <si>
    <t>UPS</t>
  </si>
  <si>
    <t>SE0001-UPS02</t>
  </si>
  <si>
    <t>3kVA, 무정전 전원 공급, Rack type</t>
    <phoneticPr fontId="4" type="noConversion"/>
  </si>
  <si>
    <t>기호티이에스</t>
    <phoneticPr fontId="4" type="noConversion"/>
  </si>
  <si>
    <t>마린필터, network card, 케이블 포함</t>
    <phoneticPr fontId="4" type="noConversion"/>
  </si>
  <si>
    <t>SE0002</t>
    <phoneticPr fontId="4" type="noConversion"/>
  </si>
  <si>
    <t>SE0002-UPS03</t>
  </si>
  <si>
    <t>1.5kVA, 무정전 전원 공급, Rack type</t>
    <phoneticPr fontId="4" type="noConversion"/>
  </si>
  <si>
    <t>SE0003-UPS01</t>
  </si>
  <si>
    <t>1kVA, 무정전 전원 공급, Stand type</t>
    <phoneticPr fontId="4" type="noConversion"/>
  </si>
  <si>
    <t>SE0004</t>
    <phoneticPr fontId="4" type="noConversion"/>
  </si>
  <si>
    <t>UPS</t>
    <phoneticPr fontId="4" type="noConversion"/>
  </si>
  <si>
    <t>SE0004-UPS04</t>
    <phoneticPr fontId="4" type="noConversion"/>
  </si>
  <si>
    <t>3kVA, 무정전 전원 공급, Stand type</t>
    <phoneticPr fontId="4" type="noConversion"/>
  </si>
  <si>
    <t>SE0005</t>
    <phoneticPr fontId="4" type="noConversion"/>
  </si>
  <si>
    <t>SE0005-UPS05</t>
    <phoneticPr fontId="4" type="noConversion"/>
  </si>
  <si>
    <t>EATON 5P 850G</t>
    <phoneticPr fontId="4" type="noConversion"/>
  </si>
  <si>
    <t>Junction Box</t>
    <phoneticPr fontId="4" type="noConversion"/>
  </si>
  <si>
    <t>SZ0001-PJB01</t>
  </si>
  <si>
    <t>PoE Hub 용</t>
    <phoneticPr fontId="4" type="noConversion"/>
  </si>
  <si>
    <t>명판 포함</t>
    <phoneticPr fontId="4" type="noConversion"/>
  </si>
  <si>
    <t>SZ0002</t>
    <phoneticPr fontId="4" type="noConversion"/>
  </si>
  <si>
    <t>SZ0002-LJB01</t>
    <phoneticPr fontId="4" type="noConversion"/>
  </si>
  <si>
    <t>LRP Injector용</t>
    <phoneticPr fontId="4" type="noConversion"/>
  </si>
  <si>
    <t>SZ0003</t>
    <phoneticPr fontId="4" type="noConversion"/>
  </si>
  <si>
    <t>SZ0003-LJB02</t>
  </si>
  <si>
    <t>방폭형, LRP Extender용</t>
    <phoneticPr fontId="4" type="noConversion"/>
  </si>
  <si>
    <t>AP</t>
    <phoneticPr fontId="4" type="noConversion"/>
  </si>
  <si>
    <t>SZ0004-WAP01</t>
  </si>
  <si>
    <t>무선 공유기</t>
  </si>
  <si>
    <t>쿠팡</t>
    <phoneticPr fontId="4" type="noConversion"/>
  </si>
  <si>
    <t>AX3000M</t>
  </si>
  <si>
    <t>keyboard &amp; mouse</t>
    <phoneticPr fontId="4" type="noConversion"/>
  </si>
  <si>
    <t>SZ0005-KEM01</t>
  </si>
  <si>
    <t>입력기기</t>
  </si>
  <si>
    <t>세트</t>
  </si>
  <si>
    <t>MK270r</t>
  </si>
  <si>
    <t>Keyboard with trackball</t>
    <phoneticPr fontId="4" type="noConversion"/>
  </si>
  <si>
    <t>SZ0006-KEM02</t>
  </si>
  <si>
    <t>선급인증품</t>
    <phoneticPr fontId="4" type="noConversion"/>
  </si>
  <si>
    <t>피앤피컴포넌츠</t>
    <phoneticPr fontId="4" type="noConversion"/>
  </si>
  <si>
    <t>panel mount / flush type</t>
    <phoneticPr fontId="4" type="noConversion"/>
  </si>
  <si>
    <t>RKTE85B2448-W-MC1</t>
  </si>
  <si>
    <t>Main rack</t>
  </si>
  <si>
    <t>SZ0007-MRA01</t>
  </si>
  <si>
    <t>서버/HUB 등 설치용 Rack</t>
    <phoneticPr fontId="4" type="noConversion"/>
  </si>
  <si>
    <t>SZ0008</t>
    <phoneticPr fontId="4" type="noConversion"/>
  </si>
  <si>
    <t>M12 connector</t>
    <phoneticPr fontId="4" type="noConversion"/>
  </si>
  <si>
    <t>SZ0008-ICB01</t>
  </si>
  <si>
    <t>IP 카메라용 케이블 컨넥터</t>
    <phoneticPr fontId="4" type="noConversion"/>
  </si>
  <si>
    <t>SZ0009</t>
  </si>
  <si>
    <t>SZ0009-NJB02</t>
    <phoneticPr fontId="4" type="noConversion"/>
  </si>
  <si>
    <t>방폭형</t>
    <phoneticPr fontId="4" type="noConversion"/>
  </si>
  <si>
    <t>SZ0010</t>
  </si>
  <si>
    <t>SZ0010LJB03</t>
    <phoneticPr fontId="4" type="noConversion"/>
  </si>
  <si>
    <t>LRP Extender용</t>
    <phoneticPr fontId="4" type="noConversion"/>
  </si>
  <si>
    <t>SZ0011</t>
    <phoneticPr fontId="4" type="noConversion"/>
  </si>
  <si>
    <t>PCI card</t>
    <phoneticPr fontId="4" type="noConversion"/>
  </si>
  <si>
    <t>SZ0011-PCI01</t>
    <phoneticPr fontId="4" type="noConversion"/>
  </si>
  <si>
    <t>모니터 buzzer 소리 제어용</t>
    <phoneticPr fontId="4" type="noConversion"/>
  </si>
  <si>
    <t>CP-132EL-I-DB9M</t>
    <phoneticPr fontId="4" type="noConversion"/>
  </si>
  <si>
    <t>SMPS</t>
    <phoneticPr fontId="4" type="noConversion"/>
  </si>
  <si>
    <t>SZ0012-PSU01</t>
    <phoneticPr fontId="4" type="noConversion"/>
  </si>
  <si>
    <t>Single Board Computer  전원 공급</t>
    <phoneticPr fontId="4" type="noConversion"/>
  </si>
  <si>
    <t>파워캅</t>
    <phoneticPr fontId="4" type="noConversion"/>
  </si>
  <si>
    <t>UP300-F-12TUF</t>
    <phoneticPr fontId="4" type="noConversion"/>
  </si>
  <si>
    <t>Trackball Mouse</t>
    <phoneticPr fontId="4" type="noConversion"/>
  </si>
  <si>
    <t>SZ0013-KEM03</t>
    <phoneticPr fontId="4" type="noConversion"/>
  </si>
  <si>
    <t>마우스</t>
    <phoneticPr fontId="4" type="noConversion"/>
  </si>
  <si>
    <t>K72337</t>
    <phoneticPr fontId="4" type="noConversion"/>
  </si>
  <si>
    <t>EMI/EMC filter</t>
    <phoneticPr fontId="4" type="noConversion"/>
  </si>
  <si>
    <t>SZ0014-EMI01</t>
    <phoneticPr fontId="4" type="noConversion"/>
  </si>
  <si>
    <t>정션박스 전자파 차폐용</t>
    <phoneticPr fontId="4" type="noConversion"/>
  </si>
  <si>
    <t>오키</t>
    <phoneticPr fontId="4" type="noConversion"/>
  </si>
  <si>
    <t>A2B2030-UB</t>
    <phoneticPr fontId="4" type="noConversion"/>
  </si>
  <si>
    <t>SZ0015</t>
  </si>
  <si>
    <t>Hardwire Controller</t>
    <phoneticPr fontId="4" type="noConversion"/>
  </si>
  <si>
    <t>SZ0015-HCT01</t>
    <phoneticPr fontId="4" type="noConversion"/>
  </si>
  <si>
    <t>어드밴텍</t>
    <phoneticPr fontId="4" type="noConversion"/>
  </si>
  <si>
    <t>ADAM-6060-D1</t>
    <phoneticPr fontId="4" type="noConversion"/>
  </si>
  <si>
    <t>SZ0016</t>
    <phoneticPr fontId="4" type="noConversion"/>
  </si>
  <si>
    <t>PoE Splitter</t>
    <phoneticPr fontId="4" type="noConversion"/>
  </si>
  <si>
    <t>SZ0016-PST01</t>
    <phoneticPr fontId="4" type="noConversion"/>
  </si>
  <si>
    <t>SZ0017-PJB02</t>
    <phoneticPr fontId="4" type="noConversion"/>
  </si>
  <si>
    <t>PoE Extender 용</t>
    <phoneticPr fontId="4" type="noConversion"/>
  </si>
  <si>
    <t>SZ0018</t>
  </si>
  <si>
    <t>NMEA buffer</t>
  </si>
  <si>
    <t>SZ0018-DST01</t>
    <phoneticPr fontId="4" type="noConversion"/>
  </si>
  <si>
    <t>Serial distributor</t>
    <phoneticPr fontId="4" type="noConversion"/>
  </si>
  <si>
    <t>지노스</t>
    <phoneticPr fontId="4" type="noConversion"/>
  </si>
  <si>
    <t>ZNR-140</t>
    <phoneticPr fontId="4" type="noConversion"/>
  </si>
  <si>
    <t>멀티탭</t>
    <phoneticPr fontId="4" type="noConversion"/>
  </si>
  <si>
    <t>SZ0019-POT01</t>
    <phoneticPr fontId="4" type="noConversion"/>
  </si>
  <si>
    <t>UPS용</t>
    <phoneticPr fontId="4" type="noConversion"/>
  </si>
  <si>
    <t>C13-C14(MALE)</t>
    <phoneticPr fontId="4" type="noConversion"/>
  </si>
  <si>
    <t>SZ0020-MSK01</t>
    <phoneticPr fontId="4" type="noConversion"/>
  </si>
  <si>
    <t>한주전자</t>
    <phoneticPr fontId="4" type="noConversion"/>
  </si>
  <si>
    <t>SZ0021</t>
    <phoneticPr fontId="4" type="noConversion"/>
  </si>
  <si>
    <t>24V SMPS</t>
    <phoneticPr fontId="4" type="noConversion"/>
  </si>
  <si>
    <t>SZ0021-PSU04</t>
    <phoneticPr fontId="4" type="noConversion"/>
  </si>
  <si>
    <t>Network Switch, Serial to Ethernet용</t>
    <phoneticPr fontId="4" type="noConversion"/>
  </si>
  <si>
    <t>HDR-60-24</t>
    <phoneticPr fontId="4" type="noConversion"/>
  </si>
  <si>
    <t>SZ0022</t>
    <phoneticPr fontId="4" type="noConversion"/>
  </si>
  <si>
    <t>SZ0022-PJB02</t>
    <phoneticPr fontId="4" type="noConversion"/>
  </si>
  <si>
    <t>Network POE switch 용</t>
    <phoneticPr fontId="4" type="noConversion"/>
  </si>
  <si>
    <t>SZ0023</t>
    <phoneticPr fontId="4" type="noConversion"/>
  </si>
  <si>
    <t>SZ0023-KEM03</t>
    <phoneticPr fontId="4" type="noConversion"/>
  </si>
  <si>
    <t>Desk type</t>
    <phoneticPr fontId="4" type="noConversion"/>
  </si>
  <si>
    <t>RKTE85S2448-W-MC1</t>
    <phoneticPr fontId="4" type="noConversion"/>
  </si>
  <si>
    <t>완제품리스트</t>
    <phoneticPr fontId="4" type="noConversion"/>
  </si>
  <si>
    <t>구  분</t>
    <phoneticPr fontId="4" type="noConversion"/>
  </si>
  <si>
    <t>완제품 코드</t>
    <phoneticPr fontId="14" type="noConversion"/>
  </si>
  <si>
    <t>완제품 품명</t>
    <phoneticPr fontId="14" type="noConversion"/>
  </si>
  <si>
    <t>주요 사양</t>
    <phoneticPr fontId="4" type="noConversion"/>
  </si>
  <si>
    <t>대형상선용</t>
    <phoneticPr fontId="4" type="noConversion"/>
  </si>
  <si>
    <t>NS</t>
    <phoneticPr fontId="4" type="noConversion"/>
  </si>
  <si>
    <t>(NewBuilding) HiNAS Navigation</t>
    <phoneticPr fontId="4" type="noConversion"/>
  </si>
  <si>
    <t>ND</t>
    <phoneticPr fontId="4" type="noConversion"/>
  </si>
  <si>
    <t>(NewBuilding) HiNAS Navigation/DOM</t>
    <phoneticPr fontId="4" type="noConversion"/>
  </si>
  <si>
    <t>NB</t>
    <phoneticPr fontId="4" type="noConversion"/>
  </si>
  <si>
    <t>(NewBuilding) HiNAS Navigation/SVM</t>
    <phoneticPr fontId="4" type="noConversion"/>
  </si>
  <si>
    <t>MS</t>
    <phoneticPr fontId="4" type="noConversion"/>
  </si>
  <si>
    <t>(NewBuilding) HiNAS Control</t>
    <phoneticPr fontId="4" type="noConversion"/>
  </si>
  <si>
    <t>MD</t>
    <phoneticPr fontId="4" type="noConversion"/>
  </si>
  <si>
    <t>(NewBuilding) HiNAS Control/DOM</t>
    <phoneticPr fontId="4" type="noConversion"/>
  </si>
  <si>
    <t>MB</t>
    <phoneticPr fontId="4" type="noConversion"/>
  </si>
  <si>
    <t>(NewBuilding) HiNAS Control/SVM</t>
    <phoneticPr fontId="4" type="noConversion"/>
  </si>
  <si>
    <t>BS</t>
    <phoneticPr fontId="4" type="noConversion"/>
  </si>
  <si>
    <t>(NewBuilding) HiNAS SVM</t>
    <phoneticPr fontId="4" type="noConversion"/>
  </si>
  <si>
    <t>BD</t>
    <phoneticPr fontId="4" type="noConversion"/>
  </si>
  <si>
    <t>(NewBuilding) HiNAS SVM/DOM</t>
    <phoneticPr fontId="4" type="noConversion"/>
  </si>
  <si>
    <t>(Retrofit) HiNAS Navigation</t>
    <phoneticPr fontId="4" type="noConversion"/>
  </si>
  <si>
    <t>(Retrofit) HiNAS Navigation/SVM</t>
    <phoneticPr fontId="4" type="noConversion"/>
  </si>
  <si>
    <t>(Retrofit) HiNAS Control</t>
    <phoneticPr fontId="4" type="noConversion"/>
  </si>
  <si>
    <t>(Retrofit) HiNAS Control/SVM</t>
    <phoneticPr fontId="4" type="noConversion"/>
  </si>
  <si>
    <t>(Retrofit) HiNAS SVM</t>
    <phoneticPr fontId="4" type="noConversion"/>
  </si>
  <si>
    <t>레저보트용</t>
    <phoneticPr fontId="4" type="noConversion"/>
  </si>
  <si>
    <t>NDB</t>
  </si>
  <si>
    <t>NeuBoat_DOCK Basic</t>
  </si>
  <si>
    <t>ND2</t>
  </si>
  <si>
    <t>NeuBoat_DOCK 2</t>
  </si>
  <si>
    <t>CD1</t>
  </si>
  <si>
    <t>CoPilot DOCK</t>
  </si>
  <si>
    <t>CA1</t>
  </si>
  <si>
    <t>CoPilot AUTODOCK</t>
  </si>
  <si>
    <t>CC1</t>
  </si>
  <si>
    <t>CoPilot CONTROL</t>
  </si>
  <si>
    <t>HiNAS Control 2.0</t>
    <phoneticPr fontId="3" type="noConversion"/>
  </si>
  <si>
    <t>HiNAS Navigation DOM</t>
    <phoneticPr fontId="3" type="noConversion"/>
  </si>
  <si>
    <t>HiNAS Navigation</t>
    <phoneticPr fontId="3" type="noConversion"/>
  </si>
  <si>
    <t>HiNAS Control SVM</t>
    <phoneticPr fontId="3" type="noConversion"/>
  </si>
  <si>
    <t>구분</t>
    <phoneticPr fontId="3" type="noConversion"/>
  </si>
  <si>
    <t>모델</t>
    <phoneticPr fontId="3" type="noConversion"/>
  </si>
  <si>
    <t>신조</t>
    <phoneticPr fontId="3" type="noConversion"/>
  </si>
  <si>
    <t>개조</t>
    <phoneticPr fontId="3" type="noConversion"/>
  </si>
  <si>
    <t>HiNAS Navigation</t>
    <phoneticPr fontId="4" type="noConversion"/>
  </si>
  <si>
    <t>HiNAS Navigation DOM</t>
    <phoneticPr fontId="4" type="noConversion"/>
  </si>
  <si>
    <t>HiNAS Navigation DOM/ HiNAS SVM</t>
    <phoneticPr fontId="4" type="noConversion"/>
  </si>
  <si>
    <t>HiNAS Control</t>
    <phoneticPr fontId="3" type="noConversion"/>
  </si>
  <si>
    <t>HiNAS Control/ HiNAS Navigation DOM</t>
    <phoneticPr fontId="4" type="noConversion"/>
  </si>
  <si>
    <t>HiNAS SVM</t>
    <phoneticPr fontId="3" type="noConversion"/>
  </si>
  <si>
    <t>HiNAS SVM/ HiNAS Navigation DOM</t>
    <phoneticPr fontId="3" type="noConversion"/>
  </si>
  <si>
    <t>HiNAS Control/ HiNAS SVM</t>
    <phoneticPr fontId="4" type="noConversion"/>
  </si>
  <si>
    <t>26 (2026년)</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</si>
</sst>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7" x14ac:knownFonts="1">
    <font>
      <sz val="11"/>
      <color theme="1"/>
      <name val="맑은 고딕"/>
      <family val="2"/>
      <scheme val="minor"/>
    </font>
    <font>
      <sz val="11"/>
      <color theme="1"/>
      <name val="맑은 고딕"/>
      <family val="2"/>
      <charset val="129"/>
      <scheme val="minor"/>
    </font>
    <font>
      <sz val="10"/>
      <color theme="1"/>
      <name val="맑은 고딕"/>
      <family val="2"/>
      <charset val="129"/>
    </font>
    <font>
      <sz val="8"/>
      <name val="맑은 고딕"/>
      <family val="3"/>
      <charset val="129"/>
      <scheme val="minor"/>
    </font>
    <font>
      <sz val="8"/>
      <name val="맑은 고딕"/>
      <family val="2"/>
      <charset val="129"/>
      <scheme val="minor"/>
    </font>
    <font>
      <sz val="11"/>
      <color theme="1"/>
      <name val="맑은 고딕"/>
      <family val="3"/>
      <charset val="129"/>
    </font>
    <font>
      <sz val="11"/>
      <color theme="1"/>
      <name val="맑은 고딕"/>
      <family val="3"/>
      <charset val="129"/>
      <scheme val="minor"/>
    </font>
    <font>
      <sz val="11"/>
      <color rgb="FFFF0000"/>
      <name val="맑은 고딕"/>
      <family val="2"/>
      <charset val="129"/>
      <scheme val="minor"/>
    </font>
    <font>
      <b/>
      <sz val="11"/>
      <color theme="1"/>
      <name val="맑은 고딕"/>
      <family val="2"/>
      <charset val="129"/>
      <scheme val="minor"/>
    </font>
    <font>
      <sz val="10"/>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z val="11"/>
      <name val="돋움"/>
      <family val="3"/>
      <charset val="129"/>
    </font>
    <font>
      <b/>
      <sz val="20"/>
      <name val="맑은 고딕"/>
      <family val="3"/>
      <charset val="129"/>
      <scheme val="major"/>
    </font>
    <font>
      <sz val="8"/>
      <name val="돋움"/>
      <family val="3"/>
      <charset val="129"/>
    </font>
    <font>
      <sz val="11"/>
      <name val="맑은 고딕"/>
      <family val="3"/>
      <charset val="129"/>
      <scheme val="major"/>
    </font>
    <font>
      <b/>
      <sz val="12"/>
      <name val="맑은 고딕"/>
      <family val="3"/>
      <charset val="129"/>
      <scheme val="major"/>
    </font>
    <font>
      <b/>
      <sz val="11"/>
      <name val="맑은 고딕"/>
      <family val="3"/>
      <charset val="129"/>
      <scheme val="major"/>
    </font>
    <font>
      <b/>
      <u/>
      <sz val="11"/>
      <name val="맑은 고딕"/>
      <family val="3"/>
      <charset val="129"/>
      <scheme val="major"/>
    </font>
    <font>
      <sz val="12"/>
      <name val="맑은 고딕"/>
      <family val="3"/>
      <charset val="129"/>
      <scheme val="major"/>
    </font>
    <font>
      <sz val="11"/>
      <name val="맑은 고딕"/>
      <family val="3"/>
      <charset val="129"/>
      <scheme val="minor"/>
    </font>
    <font>
      <sz val="11"/>
      <color rgb="FFFF0000"/>
      <name val="맑은 고딕"/>
      <family val="3"/>
      <charset val="129"/>
      <scheme val="major"/>
    </font>
    <font>
      <b/>
      <sz val="18"/>
      <color rgb="FF000000"/>
      <name val="맑은 고딕"/>
      <family val="3"/>
      <charset val="129"/>
      <scheme val="minor"/>
    </font>
    <font>
      <sz val="11"/>
      <color rgb="FF000000"/>
      <name val="맑은 고딕"/>
      <family val="2"/>
      <charset val="129"/>
      <scheme val="minor"/>
    </font>
    <font>
      <sz val="11"/>
      <color rgb="FF000000"/>
      <name val="맑은 고딕"/>
      <family val="3"/>
      <charset val="129"/>
      <scheme val="major"/>
    </font>
    <font>
      <sz val="11"/>
      <color rgb="FF000000"/>
      <name val="맑은 고딕"/>
      <family val="3"/>
      <charset val="129"/>
      <scheme val="minor"/>
    </font>
    <font>
      <b/>
      <sz val="18"/>
      <color theme="1"/>
      <name val="맑은 고딕"/>
      <family val="3"/>
      <charset val="129"/>
      <scheme val="minor"/>
    </font>
  </fonts>
  <fills count="12">
    <fill>
      <patternFill patternType="none"/>
    </fill>
    <fill>
      <patternFill patternType="gray125"/>
    </fill>
    <fill>
      <patternFill patternType="solid">
        <fgColor theme="0" tint="-0.14999847407452621"/>
        <bgColor indexed="64"/>
      </patternFill>
    </fill>
    <fill>
      <patternFill patternType="solid">
        <fgColor rgb="FFD9D9D9"/>
        <bgColor indexed="64"/>
      </patternFill>
    </fill>
    <fill>
      <patternFill patternType="solid">
        <fgColor rgb="FFDEEAF6"/>
        <bgColor indexed="64"/>
      </patternFill>
    </fill>
    <fill>
      <patternFill patternType="solid">
        <fgColor rgb="FFD9D9D9"/>
        <bgColor rgb="FF000000"/>
      </patternFill>
    </fill>
    <fill>
      <patternFill patternType="solid">
        <fgColor rgb="FFDAF2D0"/>
        <bgColor rgb="FF000000"/>
      </patternFill>
    </fill>
    <fill>
      <patternFill patternType="solid">
        <fgColor rgb="FFBDD7EE"/>
        <bgColor indexed="64"/>
      </patternFill>
    </fill>
    <fill>
      <patternFill patternType="solid">
        <fgColor rgb="FFFCE4D6"/>
        <bgColor indexed="64"/>
      </patternFill>
    </fill>
    <fill>
      <patternFill patternType="solid">
        <fgColor rgb="FFF8CBAD"/>
        <bgColor indexed="64"/>
      </patternFill>
    </fill>
    <fill>
      <patternFill patternType="solid">
        <fgColor theme="1" tint="0.34998626667073579"/>
        <bgColor indexed="64"/>
      </patternFill>
    </fill>
    <fill>
      <patternFill patternType="solid">
        <fgColor theme="7"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indexed="64"/>
      </top>
      <bottom style="thin">
        <color indexed="64"/>
      </bottom>
      <diagonal/>
    </border>
    <border>
      <left/>
      <right/>
      <top/>
      <bottom style="thin">
        <color rgb="FF000000"/>
      </bottom>
      <diagonal/>
    </border>
    <border>
      <left/>
      <right/>
      <top style="thin">
        <color indexed="64"/>
      </top>
      <bottom/>
      <diagonal/>
    </border>
  </borders>
  <cellStyleXfs count="5">
    <xf numFmtId="0" fontId="0" fillId="0" borderId="0"/>
    <xf numFmtId="0" fontId="2" fillId="0" borderId="0">
      <alignment vertical="center"/>
    </xf>
    <xf numFmtId="0" fontId="1" fillId="0" borderId="0">
      <alignment vertical="center"/>
    </xf>
    <xf numFmtId="0" fontId="12" fillId="0" borderId="0">
      <alignment vertical="center"/>
    </xf>
    <xf numFmtId="41" fontId="1" fillId="0" borderId="0" applyFont="0" applyFill="0" applyBorder="0" applyAlignment="0" applyProtection="0">
      <alignment vertical="center"/>
    </xf>
  </cellStyleXfs>
  <cellXfs count="128">
    <xf numFmtId="0" fontId="0" fillId="0" borderId="0" xfId="0"/>
    <xf numFmtId="0" fontId="8" fillId="3" borderId="1" xfId="2" applyFont="1" applyFill="1" applyBorder="1" applyAlignment="1">
      <alignment horizontal="center" vertical="center"/>
    </xf>
    <xf numFmtId="0" fontId="1" fillId="0" borderId="0" xfId="2">
      <alignment vertical="center"/>
    </xf>
    <xf numFmtId="0" fontId="8" fillId="4" borderId="1" xfId="2" applyFont="1" applyFill="1" applyBorder="1" applyAlignment="1">
      <alignment horizontal="center" vertical="center"/>
    </xf>
    <xf numFmtId="0" fontId="1" fillId="0" borderId="1" xfId="2" applyBorder="1">
      <alignment vertical="center"/>
    </xf>
    <xf numFmtId="0" fontId="1" fillId="0" borderId="1" xfId="2" applyBorder="1" applyAlignment="1">
      <alignment horizontal="center" vertical="center"/>
    </xf>
    <xf numFmtId="0" fontId="9" fillId="5" borderId="1" xfId="2" applyFont="1" applyFill="1" applyBorder="1" applyAlignment="1">
      <alignment horizontal="center" vertical="center"/>
    </xf>
    <xf numFmtId="0" fontId="11" fillId="0" borderId="3" xfId="2" applyFont="1" applyBorder="1" applyAlignment="1">
      <alignment horizontal="center" vertical="center"/>
    </xf>
    <xf numFmtId="0" fontId="11" fillId="0" borderId="1" xfId="2" applyFont="1" applyBorder="1" applyAlignment="1">
      <alignment horizontal="center" vertical="center"/>
    </xf>
    <xf numFmtId="0" fontId="11" fillId="5" borderId="8" xfId="2" applyFont="1" applyFill="1" applyBorder="1" applyAlignment="1">
      <alignment horizontal="center" vertical="center"/>
    </xf>
    <xf numFmtId="0" fontId="11" fillId="0" borderId="8" xfId="2" applyFont="1" applyBorder="1" applyAlignment="1">
      <alignment horizontal="center" vertical="center"/>
    </xf>
    <xf numFmtId="0" fontId="11" fillId="5" borderId="8" xfId="2" applyFont="1" applyFill="1" applyBorder="1" applyAlignment="1">
      <alignment horizontal="center"/>
    </xf>
    <xf numFmtId="0" fontId="11" fillId="0" borderId="8" xfId="2" applyFont="1" applyBorder="1" applyAlignment="1">
      <alignment horizontal="center"/>
    </xf>
    <xf numFmtId="0" fontId="8" fillId="7" borderId="1" xfId="2" applyFont="1" applyFill="1" applyBorder="1" applyAlignment="1">
      <alignment horizontal="center" vertical="center"/>
    </xf>
    <xf numFmtId="0" fontId="8" fillId="8" borderId="1" xfId="2" applyFont="1" applyFill="1" applyBorder="1" applyAlignment="1">
      <alignment horizontal="center" vertical="center"/>
    </xf>
    <xf numFmtId="0" fontId="8" fillId="9" borderId="1" xfId="2" applyFont="1" applyFill="1" applyBorder="1" applyAlignment="1">
      <alignment horizontal="center" vertical="center"/>
    </xf>
    <xf numFmtId="0" fontId="15" fillId="0" borderId="0" xfId="3" applyFont="1">
      <alignment vertical="center"/>
    </xf>
    <xf numFmtId="0" fontId="15" fillId="0" borderId="0" xfId="3" applyFont="1" applyAlignment="1">
      <alignment horizontal="center" vertical="center"/>
    </xf>
    <xf numFmtId="0" fontId="16" fillId="0" borderId="0" xfId="3" applyFont="1">
      <alignment vertical="center"/>
    </xf>
    <xf numFmtId="0" fontId="17" fillId="0" borderId="0" xfId="3" applyFont="1">
      <alignment vertical="center"/>
    </xf>
    <xf numFmtId="0" fontId="18" fillId="0" borderId="0" xfId="3" applyFont="1">
      <alignment vertical="center"/>
    </xf>
    <xf numFmtId="0" fontId="19" fillId="0" borderId="0" xfId="3" applyFont="1">
      <alignment vertical="center"/>
    </xf>
    <xf numFmtId="0" fontId="19" fillId="0" borderId="0" xfId="3" applyFont="1" applyAlignment="1">
      <alignment horizontal="center" vertical="center"/>
    </xf>
    <xf numFmtId="0" fontId="15" fillId="2" borderId="1" xfId="3" applyFont="1" applyFill="1" applyBorder="1" applyAlignment="1">
      <alignment horizontal="center" vertical="center"/>
    </xf>
    <xf numFmtId="0" fontId="15" fillId="2" borderId="3" xfId="3" applyFont="1" applyFill="1" applyBorder="1" applyAlignment="1">
      <alignment horizontal="center" vertical="center"/>
    </xf>
    <xf numFmtId="0" fontId="15" fillId="2" borderId="3" xfId="3" applyFont="1" applyFill="1" applyBorder="1" applyAlignment="1">
      <alignment horizontal="center" vertical="center" wrapText="1"/>
    </xf>
    <xf numFmtId="0" fontId="15" fillId="0" borderId="11" xfId="3" applyFont="1" applyBorder="1" applyAlignment="1">
      <alignment horizontal="center" vertical="center"/>
    </xf>
    <xf numFmtId="0" fontId="15" fillId="0" borderId="8" xfId="3" applyFont="1" applyBorder="1" applyAlignment="1">
      <alignment horizontal="center" vertical="center" shrinkToFit="1"/>
    </xf>
    <xf numFmtId="0" fontId="20" fillId="0" borderId="8" xfId="2" applyFont="1" applyBorder="1">
      <alignment vertical="center"/>
    </xf>
    <xf numFmtId="41" fontId="15" fillId="0" borderId="8" xfId="4" applyFont="1" applyFill="1" applyBorder="1" applyAlignment="1">
      <alignment horizontal="center" vertical="center" shrinkToFit="1"/>
    </xf>
    <xf numFmtId="0" fontId="21" fillId="0" borderId="0" xfId="3" applyFont="1">
      <alignment vertical="center"/>
    </xf>
    <xf numFmtId="0" fontId="15" fillId="0" borderId="0" xfId="3" applyFont="1" applyAlignment="1">
      <alignment horizontal="center" vertical="center" shrinkToFit="1"/>
    </xf>
    <xf numFmtId="0" fontId="20" fillId="0" borderId="0" xfId="2" applyFont="1">
      <alignment vertical="center"/>
    </xf>
    <xf numFmtId="41" fontId="15" fillId="0" borderId="0" xfId="4" applyFont="1" applyFill="1" applyBorder="1" applyAlignment="1">
      <alignment horizontal="center" vertical="center" shrinkToFit="1"/>
    </xf>
    <xf numFmtId="0" fontId="15" fillId="0" borderId="0" xfId="3" applyFont="1" applyAlignment="1"/>
    <xf numFmtId="0" fontId="16" fillId="0" borderId="0" xfId="3" applyFont="1" applyAlignment="1"/>
    <xf numFmtId="0" fontId="19" fillId="0" borderId="0" xfId="3" applyFont="1" applyAlignment="1"/>
    <xf numFmtId="0" fontId="15" fillId="0" borderId="1" xfId="3" applyFont="1" applyBorder="1" applyAlignment="1">
      <alignment horizontal="center" vertical="center" shrinkToFit="1"/>
    </xf>
    <xf numFmtId="0" fontId="20" fillId="0" borderId="1" xfId="2" applyFont="1" applyBorder="1">
      <alignment vertical="center"/>
    </xf>
    <xf numFmtId="41" fontId="15" fillId="0" borderId="1" xfId="4" applyFont="1" applyFill="1" applyBorder="1" applyAlignment="1">
      <alignment horizontal="center" vertical="center" shrinkToFit="1"/>
    </xf>
    <xf numFmtId="0" fontId="15" fillId="0" borderId="12" xfId="3" applyFont="1" applyBorder="1" applyAlignment="1">
      <alignment horizontal="center" vertical="center" shrinkToFit="1"/>
    </xf>
    <xf numFmtId="0" fontId="1" fillId="0" borderId="1" xfId="2" applyBorder="1" applyAlignment="1">
      <alignment horizontal="center" vertical="center" shrinkToFit="1"/>
    </xf>
    <xf numFmtId="0" fontId="20" fillId="0" borderId="7" xfId="2" applyFont="1" applyBorder="1">
      <alignment vertical="center"/>
    </xf>
    <xf numFmtId="0" fontId="1" fillId="0" borderId="3" xfId="2" applyBorder="1" applyAlignment="1">
      <alignment horizontal="center" vertical="center" shrinkToFit="1"/>
    </xf>
    <xf numFmtId="0" fontId="20" fillId="0" borderId="13" xfId="2" applyFont="1" applyBorder="1">
      <alignment vertical="center"/>
    </xf>
    <xf numFmtId="41" fontId="15" fillId="0" borderId="12" xfId="4" applyFont="1" applyFill="1" applyBorder="1" applyAlignment="1">
      <alignment horizontal="center" vertical="center" shrinkToFit="1"/>
    </xf>
    <xf numFmtId="0" fontId="20" fillId="0" borderId="1" xfId="2" applyFont="1" applyBorder="1" applyAlignment="1">
      <alignment horizontal="center" vertical="center" shrinkToFit="1"/>
    </xf>
    <xf numFmtId="0" fontId="22" fillId="0" borderId="0" xfId="2" applyFont="1">
      <alignment vertical="center"/>
    </xf>
    <xf numFmtId="0" fontId="23" fillId="0" borderId="0" xfId="2" applyFont="1" applyAlignment="1">
      <alignment horizontal="center" vertical="center"/>
    </xf>
    <xf numFmtId="0" fontId="23" fillId="0" borderId="0" xfId="2" applyFont="1">
      <alignment vertical="center"/>
    </xf>
    <xf numFmtId="0" fontId="23" fillId="0" borderId="0" xfId="2" applyFont="1" applyAlignment="1">
      <alignment horizontal="left" vertical="center"/>
    </xf>
    <xf numFmtId="0" fontId="7" fillId="0" borderId="0" xfId="2" applyFont="1">
      <alignment vertical="center"/>
    </xf>
    <xf numFmtId="0" fontId="24" fillId="2" borderId="1" xfId="3" applyFont="1" applyFill="1" applyBorder="1" applyAlignment="1">
      <alignment horizontal="center" vertical="center"/>
    </xf>
    <xf numFmtId="0" fontId="24" fillId="2" borderId="1" xfId="3" applyFont="1" applyFill="1" applyBorder="1" applyAlignment="1">
      <alignment horizontal="center" vertical="center" wrapText="1"/>
    </xf>
    <xf numFmtId="0" fontId="25" fillId="0" borderId="1" xfId="2" applyFont="1" applyBorder="1" applyAlignment="1">
      <alignment horizontal="center" vertical="center" shrinkToFit="1"/>
    </xf>
    <xf numFmtId="0" fontId="25" fillId="0" borderId="1" xfId="2" applyFont="1" applyBorder="1" applyAlignment="1">
      <alignment vertical="center" shrinkToFit="1"/>
    </xf>
    <xf numFmtId="3" fontId="25" fillId="0" borderId="1" xfId="4" applyNumberFormat="1" applyFont="1" applyFill="1" applyBorder="1" applyAlignment="1">
      <alignment vertical="center" shrinkToFit="1"/>
    </xf>
    <xf numFmtId="0" fontId="25" fillId="0" borderId="1" xfId="4" applyNumberFormat="1" applyFont="1" applyFill="1" applyBorder="1" applyAlignment="1">
      <alignment horizontal="center" vertical="center" shrinkToFit="1"/>
    </xf>
    <xf numFmtId="0" fontId="25" fillId="0" borderId="1" xfId="4" applyNumberFormat="1" applyFont="1" applyBorder="1" applyAlignment="1">
      <alignment horizontal="center" vertical="center" shrinkToFit="1"/>
    </xf>
    <xf numFmtId="0" fontId="25" fillId="0" borderId="1" xfId="2" applyFont="1" applyBorder="1" applyAlignment="1">
      <alignment horizontal="left" vertical="center" shrinkToFit="1"/>
    </xf>
    <xf numFmtId="0" fontId="5" fillId="0" borderId="1" xfId="2" applyFont="1" applyBorder="1" applyAlignment="1">
      <alignment horizontal="center" vertical="center"/>
    </xf>
    <xf numFmtId="0" fontId="6" fillId="0" borderId="0" xfId="2" applyFont="1">
      <alignment vertical="center"/>
    </xf>
    <xf numFmtId="0" fontId="6" fillId="0" borderId="0" xfId="2" applyFont="1" applyAlignment="1">
      <alignment horizontal="right" vertical="center"/>
    </xf>
    <xf numFmtId="3" fontId="25" fillId="0" borderId="1" xfId="4" applyNumberFormat="1" applyFont="1" applyBorder="1" applyAlignment="1">
      <alignment vertical="center" shrinkToFit="1"/>
    </xf>
    <xf numFmtId="0" fontId="25" fillId="0" borderId="1" xfId="4" applyNumberFormat="1" applyFont="1" applyFill="1" applyBorder="1" applyAlignment="1">
      <alignment horizontal="left" vertical="center" shrinkToFit="1"/>
    </xf>
    <xf numFmtId="0" fontId="25" fillId="0" borderId="1" xfId="4" applyNumberFormat="1" applyFont="1" applyBorder="1" applyAlignment="1">
      <alignment horizontal="left" vertical="center" shrinkToFit="1"/>
    </xf>
    <xf numFmtId="0" fontId="6" fillId="0" borderId="0" xfId="2" applyFont="1" applyAlignment="1">
      <alignment horizontal="left" vertical="center"/>
    </xf>
    <xf numFmtId="0" fontId="25" fillId="10" borderId="1" xfId="2" applyFont="1" applyFill="1" applyBorder="1" applyAlignment="1">
      <alignment horizontal="center" vertical="center" shrinkToFit="1"/>
    </xf>
    <xf numFmtId="0" fontId="25" fillId="10" borderId="1" xfId="2" applyFont="1" applyFill="1" applyBorder="1" applyAlignment="1">
      <alignment vertical="center" shrinkToFit="1"/>
    </xf>
    <xf numFmtId="3" fontId="25" fillId="10" borderId="1" xfId="4" applyNumberFormat="1" applyFont="1" applyFill="1" applyBorder="1" applyAlignment="1">
      <alignment vertical="center" shrinkToFit="1"/>
    </xf>
    <xf numFmtId="0" fontId="25" fillId="10" borderId="1" xfId="4" applyNumberFormat="1" applyFont="1" applyFill="1" applyBorder="1" applyAlignment="1">
      <alignment horizontal="center" vertical="center" shrinkToFit="1"/>
    </xf>
    <xf numFmtId="0" fontId="25" fillId="10" borderId="1" xfId="2" applyFont="1" applyFill="1" applyBorder="1" applyAlignment="1">
      <alignment horizontal="left" vertical="center" shrinkToFit="1"/>
    </xf>
    <xf numFmtId="3" fontId="25" fillId="0" borderId="1" xfId="2" applyNumberFormat="1" applyFont="1" applyBorder="1" applyAlignment="1">
      <alignment horizontal="center" vertical="center" shrinkToFit="1"/>
    </xf>
    <xf numFmtId="0" fontId="5" fillId="0" borderId="0" xfId="2" applyFont="1">
      <alignment vertical="center"/>
    </xf>
    <xf numFmtId="3" fontId="25" fillId="0" borderId="5" xfId="4" applyNumberFormat="1" applyFont="1" applyFill="1" applyBorder="1" applyAlignment="1">
      <alignment vertical="center" shrinkToFit="1"/>
    </xf>
    <xf numFmtId="0" fontId="25" fillId="0" borderId="9" xfId="2" applyFont="1" applyBorder="1" applyAlignment="1">
      <alignment horizontal="center" vertical="center" shrinkToFit="1"/>
    </xf>
    <xf numFmtId="0" fontId="25" fillId="0" borderId="2" xfId="2" applyFont="1" applyBorder="1" applyAlignment="1">
      <alignment horizontal="left" vertical="center" shrinkToFit="1"/>
    </xf>
    <xf numFmtId="0" fontId="25" fillId="0" borderId="6" xfId="2" applyFont="1" applyBorder="1" applyAlignment="1">
      <alignment horizontal="center" vertical="center" shrinkToFit="1"/>
    </xf>
    <xf numFmtId="0" fontId="25" fillId="0" borderId="15" xfId="2" applyFont="1" applyBorder="1" applyAlignment="1">
      <alignment horizontal="center" vertical="center"/>
    </xf>
    <xf numFmtId="0" fontId="25" fillId="0" borderId="1" xfId="2" applyFont="1" applyBorder="1" applyAlignment="1">
      <alignment horizontal="center" vertical="center"/>
    </xf>
    <xf numFmtId="0" fontId="25" fillId="0" borderId="0" xfId="2" applyFont="1" applyAlignment="1">
      <alignment horizontal="center" vertical="center"/>
    </xf>
    <xf numFmtId="41" fontId="25" fillId="0" borderId="1" xfId="4" applyFont="1" applyFill="1" applyBorder="1" applyAlignment="1">
      <alignment horizontal="center" vertical="center" shrinkToFit="1"/>
    </xf>
    <xf numFmtId="3" fontId="25" fillId="0" borderId="1" xfId="4" applyNumberFormat="1" applyFont="1" applyFill="1" applyBorder="1" applyAlignment="1">
      <alignment horizontal="center" vertical="center" shrinkToFit="1"/>
    </xf>
    <xf numFmtId="0" fontId="25" fillId="0" borderId="1" xfId="4" applyNumberFormat="1" applyFont="1" applyBorder="1" applyAlignment="1">
      <alignment horizontal="left" vertical="center" wrapText="1" shrinkToFit="1"/>
    </xf>
    <xf numFmtId="0" fontId="25" fillId="11" borderId="1" xfId="2" applyFont="1" applyFill="1" applyBorder="1" applyAlignment="1">
      <alignment horizontal="center" vertical="center" shrinkToFit="1"/>
    </xf>
    <xf numFmtId="0" fontId="25" fillId="11" borderId="1" xfId="2" applyFont="1" applyFill="1" applyBorder="1" applyAlignment="1">
      <alignment horizontal="left" vertical="center" shrinkToFit="1"/>
    </xf>
    <xf numFmtId="3" fontId="25" fillId="11" borderId="1" xfId="4" applyNumberFormat="1" applyFont="1" applyFill="1" applyBorder="1" applyAlignment="1">
      <alignment vertical="center" shrinkToFit="1"/>
    </xf>
    <xf numFmtId="0" fontId="25" fillId="11" borderId="0" xfId="2" applyFont="1" applyFill="1" applyAlignment="1">
      <alignment horizontal="center" vertical="center"/>
    </xf>
    <xf numFmtId="0" fontId="25" fillId="11" borderId="5" xfId="4" applyNumberFormat="1" applyFont="1" applyFill="1" applyBorder="1" applyAlignment="1">
      <alignment horizontal="center" vertical="center" shrinkToFit="1"/>
    </xf>
    <xf numFmtId="0" fontId="25" fillId="11" borderId="5" xfId="4" applyNumberFormat="1" applyFont="1" applyFill="1" applyBorder="1" applyAlignment="1">
      <alignment horizontal="left" vertical="center" shrinkToFit="1"/>
    </xf>
    <xf numFmtId="0" fontId="25" fillId="11" borderId="1" xfId="4" applyNumberFormat="1" applyFont="1" applyFill="1" applyBorder="1" applyAlignment="1">
      <alignment horizontal="left" vertical="center" wrapText="1" shrinkToFit="1"/>
    </xf>
    <xf numFmtId="0" fontId="25" fillId="0" borderId="5" xfId="4" applyNumberFormat="1" applyFont="1" applyFill="1" applyBorder="1" applyAlignment="1">
      <alignment horizontal="center" vertical="center" shrinkToFit="1"/>
    </xf>
    <xf numFmtId="0" fontId="25" fillId="0" borderId="5" xfId="4" applyNumberFormat="1" applyFont="1" applyFill="1" applyBorder="1" applyAlignment="1">
      <alignment horizontal="left" vertical="center" shrinkToFit="1"/>
    </xf>
    <xf numFmtId="0" fontId="25" fillId="0" borderId="1" xfId="4" applyNumberFormat="1" applyFont="1" applyFill="1" applyBorder="1" applyAlignment="1">
      <alignment horizontal="left" vertical="center" wrapText="1" shrinkToFit="1"/>
    </xf>
    <xf numFmtId="0" fontId="25" fillId="10" borderId="1" xfId="4" applyNumberFormat="1" applyFont="1" applyFill="1" applyBorder="1" applyAlignment="1">
      <alignment horizontal="left" vertical="center" shrinkToFit="1"/>
    </xf>
    <xf numFmtId="0" fontId="23" fillId="0" borderId="1" xfId="2" applyFont="1" applyBorder="1" applyAlignment="1">
      <alignment horizontal="center" vertical="center" shrinkToFit="1"/>
    </xf>
    <xf numFmtId="0" fontId="23" fillId="0" borderId="1" xfId="2" applyFont="1" applyBorder="1" applyAlignment="1">
      <alignment vertical="center" shrinkToFit="1"/>
    </xf>
    <xf numFmtId="3" fontId="23" fillId="0" borderId="1" xfId="4" applyNumberFormat="1" applyFont="1" applyBorder="1" applyAlignment="1">
      <alignment vertical="center" shrinkToFit="1"/>
    </xf>
    <xf numFmtId="0" fontId="23" fillId="0" borderId="1" xfId="4" applyNumberFormat="1" applyFont="1" applyBorder="1" applyAlignment="1">
      <alignment horizontal="center" vertical="center" shrinkToFit="1"/>
    </xf>
    <xf numFmtId="0" fontId="23" fillId="0" borderId="1" xfId="2" applyFont="1" applyBorder="1" applyAlignment="1">
      <alignment horizontal="left" vertical="center" shrinkToFit="1"/>
    </xf>
    <xf numFmtId="0" fontId="26" fillId="0" borderId="0" xfId="2" applyFont="1">
      <alignment vertical="center"/>
    </xf>
    <xf numFmtId="0" fontId="15" fillId="2" borderId="1" xfId="3" applyFont="1" applyFill="1" applyBorder="1" applyAlignment="1">
      <alignment horizontal="center" vertical="center" wrapText="1"/>
    </xf>
    <xf numFmtId="0" fontId="1" fillId="0" borderId="3" xfId="2" applyBorder="1" applyAlignment="1">
      <alignment horizontal="center" vertical="center"/>
    </xf>
    <xf numFmtId="0" fontId="1" fillId="0" borderId="4" xfId="2" applyBorder="1">
      <alignment vertical="center"/>
    </xf>
    <xf numFmtId="0" fontId="1" fillId="0" borderId="5" xfId="2" applyBorder="1">
      <alignment vertical="center"/>
    </xf>
    <xf numFmtId="0" fontId="8" fillId="8" borderId="1" xfId="2" applyFont="1" applyFill="1" applyBorder="1" applyAlignment="1">
      <alignment horizontal="center" vertical="center"/>
    </xf>
    <xf numFmtId="0" fontId="8" fillId="9" borderId="1" xfId="2" applyFont="1" applyFill="1" applyBorder="1" applyAlignment="1">
      <alignment horizontal="center" vertical="center"/>
    </xf>
    <xf numFmtId="0" fontId="8" fillId="4" borderId="1" xfId="2" applyFont="1" applyFill="1" applyBorder="1" applyAlignment="1">
      <alignment horizontal="center" vertical="center"/>
    </xf>
    <xf numFmtId="0" fontId="8" fillId="7" borderId="1" xfId="2" applyFont="1" applyFill="1" applyBorder="1" applyAlignment="1">
      <alignment horizontal="center" vertical="center"/>
    </xf>
    <xf numFmtId="0" fontId="10" fillId="6" borderId="6" xfId="2" applyFont="1" applyFill="1" applyBorder="1" applyAlignment="1">
      <alignment horizontal="center"/>
    </xf>
    <xf numFmtId="0" fontId="10" fillId="6" borderId="7" xfId="2" applyFont="1" applyFill="1" applyBorder="1" applyAlignment="1">
      <alignment horizontal="center"/>
    </xf>
    <xf numFmtId="0" fontId="11" fillId="0" borderId="3" xfId="2" applyFont="1" applyBorder="1" applyAlignment="1">
      <alignment horizontal="center" vertical="center"/>
    </xf>
    <xf numFmtId="0" fontId="11" fillId="0" borderId="4" xfId="2" applyFont="1" applyBorder="1" applyAlignment="1">
      <alignment horizontal="center" vertical="center"/>
    </xf>
    <xf numFmtId="0" fontId="13" fillId="0" borderId="0" xfId="3" applyFont="1" applyAlignment="1">
      <alignment horizontal="center" vertical="center"/>
    </xf>
    <xf numFmtId="0" fontId="15" fillId="2" borderId="9" xfId="3" applyFont="1" applyFill="1" applyBorder="1" applyAlignment="1">
      <alignment horizontal="center" vertical="center"/>
    </xf>
    <xf numFmtId="0" fontId="15" fillId="2" borderId="10" xfId="3" applyFont="1" applyFill="1" applyBorder="1" applyAlignment="1">
      <alignment horizontal="center" vertical="center"/>
    </xf>
    <xf numFmtId="0" fontId="19" fillId="0" borderId="0" xfId="3" applyFont="1" applyAlignment="1">
      <alignment horizontal="right" vertical="center"/>
    </xf>
    <xf numFmtId="0" fontId="13" fillId="0" borderId="0" xfId="3" applyFont="1" applyAlignment="1">
      <alignment horizontal="center"/>
    </xf>
    <xf numFmtId="0" fontId="19" fillId="0" borderId="0" xfId="3" applyFont="1" applyAlignment="1">
      <alignment horizontal="right"/>
    </xf>
    <xf numFmtId="0" fontId="5" fillId="0" borderId="11" xfId="2" applyFont="1" applyBorder="1" applyAlignment="1">
      <alignment horizontal="center" vertical="center"/>
    </xf>
    <xf numFmtId="0" fontId="1" fillId="0" borderId="14" xfId="2" applyBorder="1" applyAlignment="1">
      <alignment horizontal="center" vertical="center"/>
    </xf>
    <xf numFmtId="0" fontId="1" fillId="0" borderId="2" xfId="2" applyBorder="1" applyAlignment="1">
      <alignment horizontal="center" vertical="center"/>
    </xf>
    <xf numFmtId="0" fontId="5" fillId="0" borderId="1" xfId="2" applyFont="1" applyBorder="1" applyAlignment="1">
      <alignment horizontal="center" vertical="center"/>
    </xf>
    <xf numFmtId="0" fontId="1" fillId="0" borderId="1" xfId="2" applyBorder="1" applyAlignment="1">
      <alignment horizontal="center" vertical="center"/>
    </xf>
    <xf numFmtId="0" fontId="11" fillId="0" borderId="0" xfId="2" applyFont="1" applyBorder="1" applyAlignment="1">
      <alignment vertical="center"/>
    </xf>
    <xf numFmtId="0" fontId="11" fillId="0" borderId="0" xfId="2" applyFont="1" applyBorder="1" applyAlignment="1">
      <alignment horizontal="center" vertical="center"/>
    </xf>
    <xf numFmtId="0" fontId="11" fillId="0" borderId="16" xfId="2" applyFont="1" applyBorder="1" applyAlignment="1">
      <alignment vertical="center"/>
    </xf>
    <xf numFmtId="0" fontId="11" fillId="0" borderId="16" xfId="2" applyFont="1" applyBorder="1" applyAlignment="1">
      <alignment horizontal="center" vertical="center"/>
    </xf>
  </cellXfs>
  <cellStyles count="5">
    <cellStyle name="쉼표 [0] 2" xfId="4" xr:uid="{51FB892A-ACD0-48BD-ACC1-FE51ED85C6ED}"/>
    <cellStyle name="표준" xfId="0" builtinId="0"/>
    <cellStyle name="표준 2" xfId="1" xr:uid="{005B9B29-5451-43EC-8216-469B76FFD00D}"/>
    <cellStyle name="표준 2 2" xfId="3" xr:uid="{73769A41-11D3-4A48-8A2D-132B9A6E4BFC}"/>
    <cellStyle name="표준 3" xfId="2" xr:uid="{3D728D4D-9040-4FAA-9A55-4CBA5DA4F9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4608;&#49457;&#51068;\C\AS_CLAIM\MYCAR\PRDW3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oungjoon\c\YHS\4-&#51109;&#44592;\96&#51109;&#44592;\95-2000\&#52572;&#51333;B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1\m0010008\LOCALS~1\Temp\notes6030C8\&#51088;&#46041;&#50896;&#44032;&#44228;&#49328;&#49436;\NEW(9904&#51060;&#54980;,FO)\COSTTOO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976;&#49457;&#51068;\C\My%20Documents\4&#49324;&#50629;&#44228;&#54925;\&#52264;&#51060;&#48516;&#49437;\&#51204;&#45380;&#45824;&#48708;\9806BO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50629;&#47924;\2000osj\&#51077;&#52272;\DataRoomIndex(7&#52264;-012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0976;&#49457;&#51068;\C\My%20Documents\3&#44592;&#49696;&#51221;&#48372;\upc\UPC&#44060;&#51221;\bom\TWO\LBS\T100\USER\LBS\T\T-END\TOTAL-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autoway.hmc.co.kr/&#51060;&#50857;&#46973;/TOOL/&#49888;PRS&#44228;&#493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PRDW30"/>
      <sheetName val="BUS제원1"/>
      <sheetName val="DOOR"/>
      <sheetName val="5-1차수정"/>
      <sheetName val="Tbom-tot"/>
      <sheetName val="CVT산정"/>
      <sheetName val="전체현황"/>
      <sheetName val="CALENDAR"/>
      <sheetName val="차체"/>
      <sheetName val="생계99ST"/>
      <sheetName val="GB-IC Villingen GG"/>
      <sheetName val="(BS,CF)-BACK"/>
      <sheetName val="진행 DATA (2)"/>
      <sheetName val="프로젝트"/>
      <sheetName val="1.2내수"/>
      <sheetName val="일자별"/>
      <sheetName val="●일일실적"/>
      <sheetName val="차수"/>
      <sheetName val="부문손익"/>
      <sheetName val="#REF"/>
      <sheetName val="재1"/>
      <sheetName val="외주현황.wq1"/>
      <sheetName val="Sheet4"/>
      <sheetName val="내부결재용"/>
      <sheetName val="p2-1"/>
      <sheetName val="협조전"/>
      <sheetName val="부품LIST"/>
      <sheetName val="본부별팀별9911"/>
      <sheetName val="SM-NEW"/>
      <sheetName val="CD-실적"/>
      <sheetName val="수리결과"/>
      <sheetName val="DAT(목표)"/>
      <sheetName val="차체부품 INS REPORT(갑)"/>
      <sheetName val="본문"/>
      <sheetName val="major"/>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진행_DATA_(2)"/>
      <sheetName val="GB-IC_Villingen_GG"/>
      <sheetName val="1_2내수"/>
      <sheetName val="BAU"/>
      <sheetName val="1"/>
      <sheetName val="2_2공정능력"/>
      <sheetName val="RDLEVLST"/>
      <sheetName val="검토사항"/>
      <sheetName val="추이도"/>
      <sheetName val="96수출"/>
      <sheetName val="교육계획"/>
      <sheetName val="감사ⓚA"/>
      <sheetName val="폼관조직"/>
      <sheetName val="구동"/>
      <sheetName val="환율"/>
      <sheetName val="INVESTMENT (Hardware)"/>
      <sheetName val="Cost Reduction"/>
      <sheetName val="Auswahl"/>
      <sheetName val="PC%계산"/>
      <sheetName val="카메라"/>
      <sheetName val="기초"/>
      <sheetName val="파일테이블"/>
      <sheetName val="95하U$가격"/>
      <sheetName val="PP%계산"/>
      <sheetName val="TOT"/>
      <sheetName val="MH_생산"/>
      <sheetName val="Main"/>
      <sheetName val="카니발슈마세피아"/>
      <sheetName val="WEIGHT"/>
      <sheetName val="1-Tables"/>
      <sheetName val="표지"/>
      <sheetName val="126.255"/>
      <sheetName val="인원"/>
      <sheetName val="Summary"/>
      <sheetName val="일본출1"/>
      <sheetName val="공정별설비검토"/>
      <sheetName val="INPUT"/>
      <sheetName val="계산정보"/>
      <sheetName val="다목적갑"/>
      <sheetName val="종합(PD,FD,RS)"/>
      <sheetName val="매출계획"/>
      <sheetName val="예산계획"/>
      <sheetName val="매출종합.`09"/>
      <sheetName val="AN43"/>
      <sheetName val="집연95"/>
      <sheetName val="CPK"/>
      <sheetName val="Tiburon"/>
      <sheetName val="HP1AMLIST"/>
      <sheetName val="차종별"/>
      <sheetName val="원본"/>
      <sheetName val="95계획"/>
      <sheetName val="작업제품군"/>
      <sheetName val="차종"/>
      <sheetName val="사용자코드1"/>
      <sheetName val="사용자코드2"/>
      <sheetName val="제품"/>
      <sheetName val="매출성격"/>
      <sheetName val="지역"/>
      <sheetName val="Sheet5"/>
      <sheetName val="Sheet6 (3)"/>
      <sheetName val="확정실적"/>
      <sheetName val="품의양"/>
      <sheetName val="LX3.0 RR"/>
      <sheetName val="적용수량"/>
      <sheetName val="자재소요"/>
      <sheetName val="판매계획"/>
      <sheetName val="가공비(2)"/>
      <sheetName val="Sheet3"/>
      <sheetName val="COND"/>
      <sheetName val="금형표지"/>
      <sheetName val="공평3"/>
      <sheetName val="재료(확정,11월19일)"/>
      <sheetName val="신고서.전"/>
      <sheetName val="Basic assumptions"/>
      <sheetName val="2-1"/>
      <sheetName val="PPS2"/>
      <sheetName val="ML"/>
      <sheetName val="R&amp;D"/>
      <sheetName val="GRACE"/>
      <sheetName val="RD제품개발투자비(매가)"/>
      <sheetName val="RHN"/>
      <sheetName val="材料"/>
      <sheetName val="업무분장"/>
      <sheetName val="F4-F7"/>
      <sheetName val="진도현황"/>
      <sheetName val="생산"/>
      <sheetName val="DWPM"/>
      <sheetName val="SPA원가"/>
      <sheetName val="계산DATA입력"/>
      <sheetName val="인건비"/>
      <sheetName val="뒤차축소"/>
      <sheetName val="점유면적"/>
      <sheetName val="종합BDATA"/>
      <sheetName val="적하보험"/>
      <sheetName val="등속"/>
      <sheetName val="변속"/>
      <sheetName val="액슬"/>
      <sheetName val="프레임"/>
      <sheetName val="LEASE4"/>
      <sheetName val="FUEL FILLER"/>
      <sheetName val="12-30"/>
      <sheetName val="미국"/>
      <sheetName val="2"/>
      <sheetName val="BM_NEW2"/>
      <sheetName val="Sheet1"/>
      <sheetName val="2.대외공문"/>
      <sheetName val="전부인쇄"/>
      <sheetName val="day"/>
      <sheetName val="초도발주서"/>
      <sheetName val="명단"/>
      <sheetName val="현금경비중역"/>
      <sheetName val="5.WIRE적용LIST"/>
      <sheetName val="Macro1"/>
      <sheetName val="순위"/>
      <sheetName val="Macro2"/>
      <sheetName val="3.일반사상"/>
      <sheetName val="단중표"/>
      <sheetName val="0000"/>
      <sheetName val="대외공문"/>
      <sheetName val="상용"/>
      <sheetName val="검구사양서"/>
      <sheetName val="종합"/>
      <sheetName val="3-2.귀책부서별 DT현황"/>
      <sheetName val=" 납촉자"/>
      <sheetName val="업체명"/>
      <sheetName val="Open"/>
      <sheetName val="M1master"/>
      <sheetName val="환율기준"/>
      <sheetName val="통합data"/>
      <sheetName val="시설업체주소록"/>
      <sheetName val="97"/>
      <sheetName val="품의서"/>
      <sheetName val="업종별"/>
      <sheetName val="작성양식"/>
      <sheetName val="EQ"/>
      <sheetName val="신규DEP"/>
      <sheetName val="Sheet2"/>
      <sheetName val="B053 (990701)공정실적PP%계산"/>
      <sheetName val="82150-39000"/>
      <sheetName val="재료율"/>
      <sheetName val="RC"/>
      <sheetName val="참조영역"/>
      <sheetName val="투자-국내2"/>
      <sheetName val="콤보"/>
      <sheetName val="운영실적(세부)"/>
      <sheetName val="5.세운W-A"/>
      <sheetName val="SUB 2월 재검사추이도"/>
      <sheetName val="RHD"/>
      <sheetName val="영업"/>
      <sheetName val="차체부품_INS_REPORT(갑)"/>
      <sheetName val="FUEL_FILLER"/>
      <sheetName val="c.db"/>
      <sheetName val="설비"/>
      <sheetName val="품의예산"/>
      <sheetName val="대일산업"/>
      <sheetName val="0 절삭조건"/>
      <sheetName val="1월"/>
      <sheetName val="그패프"/>
      <sheetName val="2_대외공문"/>
      <sheetName val="5_WIRE적용LIST"/>
      <sheetName val="외주현황_wq1"/>
      <sheetName val="_납촉자"/>
      <sheetName val="3_일반사상"/>
      <sheetName val="월별손익"/>
      <sheetName val="626TD"/>
      <sheetName val="주행"/>
      <sheetName val="FMEAPRO5"/>
      <sheetName val="二.POSITION.XLS"/>
      <sheetName val="96"/>
      <sheetName val="반송불량율"/>
      <sheetName val="1ဲ.ALT"/>
      <sheetName val="1ဳ.O.S"/>
      <sheetName val="15.၄AMPER"/>
      <sheetName val="BACK DATA 08.7.1~"/>
      <sheetName val="E.W"/>
      <sheetName val="P.W"/>
      <sheetName val="가공비data"/>
      <sheetName val="S.W"/>
      <sheetName val="KMCWD"/>
      <sheetName val="OPT손익 내수"/>
      <sheetName val="OPT손익 수출"/>
      <sheetName val="BACK DATA"/>
      <sheetName val="손익"/>
      <sheetName val="10월작업불량"/>
      <sheetName val="정리"/>
      <sheetName val="기초자료"/>
      <sheetName val="VT원단위"/>
      <sheetName val=""/>
      <sheetName val="불량현황"/>
      <sheetName val="KD율"/>
      <sheetName val="64164"/>
      <sheetName val="자산LIST"/>
      <sheetName val="HOUSING"/>
      <sheetName val="TEMP TORQUE"/>
      <sheetName val="MBNBSMTR"/>
      <sheetName val="출력값"/>
      <sheetName val="BL제조표준"/>
      <sheetName val="기초DATA"/>
      <sheetName val="동아합의"/>
      <sheetName val="CASE ASM"/>
      <sheetName val="14.1부"/>
      <sheetName val="생산1-1"/>
      <sheetName val="JT3.0견적-구1"/>
      <sheetName val="TOTAL"/>
      <sheetName val="건축공사"/>
      <sheetName val="SPEC별"/>
      <sheetName val="삼공기계"/>
      <sheetName val="화환비상"/>
      <sheetName val="수입"/>
      <sheetName val="소상 &quot;1&quot;"/>
      <sheetName val="금형품"/>
      <sheetName val="TCA"/>
      <sheetName val="T진도"/>
      <sheetName val="현재"/>
      <sheetName val="공정능력외경"/>
      <sheetName val="선반OPT"/>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Nego PV"/>
      <sheetName val="경비공통"/>
      <sheetName val="Pc1%계산"/>
      <sheetName val="engline"/>
      <sheetName val="1.변경범위"/>
      <sheetName val="직원신상"/>
      <sheetName val="HCCE01"/>
      <sheetName val="A-100전제"/>
      <sheetName val="12"/>
      <sheetName val="code"/>
      <sheetName val="C100보고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검기갑지"/>
      <sheetName val="설비능력및 종합공정능력산출시 사용"/>
      <sheetName val="LAMBDA 자작"/>
      <sheetName val="RESN_SUM"/>
      <sheetName val="Actions"/>
      <sheetName val="050218"/>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GB-IC_Villingen_GG1"/>
      <sheetName val="1_2내수1"/>
      <sheetName val="진행_DATA_(2)1"/>
      <sheetName val="매출종합_`09"/>
      <sheetName val="Cost_Reduction"/>
      <sheetName val="Sheet6_(3)"/>
      <sheetName val=" PPAP 작성중 .xlsx"/>
      <sheetName val="M96현황-동아"/>
      <sheetName val="PILOT품"/>
      <sheetName val="금형품의서"/>
      <sheetName val="옹벽1"/>
      <sheetName val="영업.일1"/>
      <sheetName val="감가상각"/>
      <sheetName val="조서목차"/>
      <sheetName val="월매출"/>
      <sheetName val="가격품의"/>
      <sheetName val="RELAY FAX양식"/>
      <sheetName val="PFMEA.XLS"/>
      <sheetName val="상세 견적서 (HMC)"/>
      <sheetName val="CLM-MP"/>
      <sheetName val="광주"/>
      <sheetName val="MOTO"/>
      <sheetName val="발주"/>
      <sheetName val="LL"/>
      <sheetName val="품-(주)코①"/>
      <sheetName val="Config"/>
      <sheetName val="목록"/>
      <sheetName val="#93"/>
      <sheetName val="Dashboard"/>
      <sheetName val="2008 г"/>
      <sheetName val="CF"/>
      <sheetName val="총"/>
      <sheetName val="윤영환"/>
      <sheetName val="2.중요한회계정책"/>
      <sheetName val="9.관계기업투자"/>
      <sheetName val="42.리스"/>
      <sheetName val="25.법인세"/>
      <sheetName val="Cpk3"/>
      <sheetName val="ﾀｰﾋﾞﾝﾃﾞｰﾀ"/>
      <sheetName val="COKBOM"/>
      <sheetName val="유효성"/>
      <sheetName val="File_Table"/>
      <sheetName val="근태일지"/>
      <sheetName val="연습"/>
      <sheetName val="업체별매출실적"/>
      <sheetName val="기본정보"/>
      <sheetName val="초기화면"/>
      <sheetName val="제품정보"/>
      <sheetName val="시산표"/>
      <sheetName val="DBL LPG시험"/>
      <sheetName val="ISRDATA"/>
      <sheetName val="문서처리전"/>
      <sheetName val="출금계획"/>
      <sheetName val="기안"/>
      <sheetName val="목표대비실적(R)"/>
      <sheetName val="125PIECE"/>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EurotoolsXRates"/>
      <sheetName val="거래처"/>
      <sheetName val="을"/>
      <sheetName val="6 N.m CCW 전류"/>
      <sheetName val="도표"/>
      <sheetName val="3사분기"/>
      <sheetName val="Proj List 00E"/>
      <sheetName val="대구경북"/>
      <sheetName val="월별손익현황"/>
      <sheetName val="효율계획(당월)"/>
      <sheetName val="서울서부"/>
      <sheetName val="부산경남"/>
      <sheetName val="서울동부"/>
      <sheetName val="인천경기"/>
      <sheetName val="중부본부"/>
      <sheetName val="호남본부"/>
      <sheetName val="매출DATA"/>
      <sheetName val="TA10"/>
      <sheetName val="Bosch ADVP&amp;R"/>
      <sheetName val="STEEL95"/>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INVESTMENT_(Hardware)"/>
      <sheetName val="LX3_0_RR"/>
      <sheetName val="1-C,D"/>
      <sheetName val="H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F)-BACK"/>
      <sheetName val="영업"/>
      <sheetName val="인도"/>
      <sheetName val="생산(공장별)"/>
      <sheetName val="인도KD"/>
      <sheetName val="수출(지역별)"/>
      <sheetName val="f-재고계획"/>
      <sheetName val="f-생산(내수출)"/>
      <sheetName val="KD공급율"/>
      <sheetName val="주요전제"/>
      <sheetName val="공개검토"/>
      <sheetName val="보고BS"/>
      <sheetName val="보고CF"/>
      <sheetName val="표지"/>
      <sheetName val="생산량"/>
      <sheetName val="98.1,2,3월지급실적(반영)"/>
      <sheetName val="투자비(1.4 분기 부평공장) "/>
      <sheetName val="98분야 투자반영(부평공장)"/>
      <sheetName val="98분야 투자미반영(부평공장)"/>
      <sheetName val="종합"/>
      <sheetName val="생산성"/>
      <sheetName val="생산성미달"/>
      <sheetName val="품질종합"/>
      <sheetName val="DPTV분야별"/>
      <sheetName val="DIQS분야별"/>
      <sheetName val="WARRANTY분야별"/>
      <sheetName val="시장미달"/>
      <sheetName val="부품미달"/>
      <sheetName val="DIQS5월실적"/>
      <sheetName val="VENT OIL LEAK"/>
      <sheetName val="OIL LEAK"/>
      <sheetName val="종합(1쪽)"/>
      <sheetName val="차이분석(2쪽)"/>
      <sheetName val="TREND(3쪽)"/>
      <sheetName val="종합(1쪽) (2)"/>
      <sheetName val="조정목표비교"/>
      <sheetName val="******"/>
      <sheetName val="가정"/>
      <sheetName val="DA"/>
      <sheetName val="BS SUM"/>
      <sheetName val="BS99"/>
      <sheetName val="이자"/>
      <sheetName val="Sale"/>
      <sheetName val="IS"/>
      <sheetName val="고정자산"/>
      <sheetName val="가정1"/>
      <sheetName val="판관비"/>
      <sheetName val="Cash"/>
      <sheetName val="매출"/>
      <sheetName val="2000매출"/>
      <sheetName val="2000"/>
      <sheetName val="BASIC ASSUM."/>
      <sheetName val="MGMT ANALYSIS"/>
      <sheetName val="SUMMARY"/>
      <sheetName val="1-1.P&amp;L"/>
      <sheetName val="1-2.SALES&amp;STOCK"/>
      <sheetName val="1-2.USED"/>
      <sheetName val="1-3.SALES &amp; GROSS PROFIT"/>
      <sheetName val="1-4.2000SALES &amp; PROFIT"/>
      <sheetName val="1-5.PURCHASE"/>
      <sheetName val="1-6.EXPENSES"/>
      <sheetName val="1-7.MARKETING"/>
      <sheetName val="1-8.NON.O.EXP."/>
      <sheetName val="1-9.EXTRA.EXP."/>
      <sheetName val="-2(2-1)B-SHEET"/>
      <sheetName val="2-2.INVEST."/>
      <sheetName val="-3.CASH FLOW"/>
      <sheetName val="INDEX"/>
      <sheetName val="PRICE STRUCTURE REQUESTED"/>
      <sheetName val="-1.Price Structure SUGGESTED"/>
      <sheetName val="-2.'00 Order PLAN"/>
      <sheetName val="-3.'00 SALES PLAN"/>
      <sheetName val="-4.MarketShare"/>
      <sheetName val="-5.Incentive"/>
      <sheetName val="-6.LOGISTICS"/>
      <sheetName val="-7.CompanyCar"/>
      <sheetName val="Tbom-tot"/>
      <sheetName val="최종BS"/>
      <sheetName val="A9AEDN01"/>
      <sheetName val="T진도"/>
      <sheetName val="년도별"/>
      <sheetName val="GM Master"/>
      <sheetName val="시설투자"/>
      <sheetName val="CF"/>
      <sheetName val="손익계산서"/>
      <sheetName val="so-021"/>
      <sheetName val="WEIGHT"/>
      <sheetName val="완성차 미수금"/>
      <sheetName val="ORIGIN"/>
      <sheetName val="5-1차수정"/>
      <sheetName val="1월"/>
      <sheetName val="2월"/>
      <sheetName val="3월"/>
      <sheetName val="4월"/>
      <sheetName val="5월"/>
      <sheetName val="6월"/>
      <sheetName val="7월"/>
      <sheetName val="8월"/>
      <sheetName val="9월"/>
      <sheetName val="10월"/>
      <sheetName val="11월"/>
      <sheetName val="12월"/>
      <sheetName val="total"/>
      <sheetName val="Sheet1"/>
      <sheetName val="Sheet2"/>
      <sheetName val="Sheet3"/>
      <sheetName val="도시가스"/>
      <sheetName val="수선유지비내역"/>
      <sheetName val="투자내역"/>
      <sheetName val="진행 DATA (2)"/>
      <sheetName val="CAUDIT"/>
      <sheetName val="차체"/>
      <sheetName val="Calendars"/>
      <sheetName val="월간보고"/>
      <sheetName val="목적별"/>
      <sheetName val="MH_생산"/>
      <sheetName val="#REF"/>
      <sheetName val="Z41,Z42 이외total"/>
      <sheetName val="COVER"/>
      <sheetName val="CFLOW"/>
      <sheetName val="부품LIST"/>
      <sheetName val="TCA"/>
    </sheetNames>
    <definedNames>
      <definedName name="btnReturn_click"/>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TOOL"/>
      <sheetName val="CAUDIT"/>
      <sheetName val="Tbom-tot"/>
      <sheetName val="(BS,CF)-BACK"/>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내수"/>
      <sheetName val="수출"/>
      <sheetName val="내수대표"/>
      <sheetName val="9806계"/>
      <sheetName val="9906계"/>
      <sheetName val="9801"/>
      <sheetName val="9801 (2)"/>
      <sheetName val="#REF"/>
      <sheetName val="LEGANZA(3)"/>
      <sheetName val="자재단가"/>
      <sheetName val="산출기초"/>
      <sheetName val="5-1차수정"/>
      <sheetName val="대외공문"/>
      <sheetName val="CAUDIT"/>
      <sheetName val="CF"/>
      <sheetName val="손익계산서"/>
      <sheetName val="제조부문배부"/>
      <sheetName val="LD100 (2)"/>
      <sheetName val="2.대외공문"/>
      <sheetName val="6.18"/>
      <sheetName val="MH_생산"/>
      <sheetName val="Sheet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
      <sheetName val="중복-삭제"/>
      <sheetName val="5-1차수정"/>
      <sheetName val="DataRoomIndex(7차-0124)"/>
      <sheetName val="CAUDIT"/>
      <sheetName val="Tbom-tot"/>
      <sheetName val="(BS,CF)-BACK"/>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om-tot"/>
      <sheetName val="MH_생산"/>
      <sheetName val="CAUDIT"/>
      <sheetName val="TOTAL-T"/>
      <sheetName val="CF"/>
      <sheetName val="손익계산서"/>
      <sheetName val="T진도"/>
      <sheetName val="04.New Sun"/>
      <sheetName val="5-1차수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S DATA"/>
      <sheetName val="CAUDIT"/>
      <sheetName val="MH_생산"/>
      <sheetName val="5-1차수정"/>
      <sheetName val="신PRS계산"/>
      <sheetName val="PressCost"/>
      <sheetName val="Tbom-tot"/>
      <sheetName val="(BS,CF)-BACK"/>
    </sheetNames>
    <sheetDataSet>
      <sheetData sheetId="0"/>
      <sheetData sheetId="1" refreshError="1"/>
      <sheetData sheetId="2" refreshError="1"/>
      <sheetData sheetId="3" refreshError="1"/>
      <sheetData sheetId="4" refreshError="1"/>
      <sheetData sheetId="5"/>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chanmi kang" id="{02AC6766-1F35-4E28-A4DD-6EF221FEDF26}" userId="S::chanmi.kang@avikus.ai::3c8d3f6c-19a8-4dfd-9ff1-a6768696c499"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 dT="2023-12-12T23:43:55.38" personId="{02AC6766-1F35-4E28-A4DD-6EF221FEDF26}" id="{606D8101-B81A-4666-9B48-62AFD84E4215}">
    <text>완제품리스트 시트 참조</text>
  </threadedComment>
</ThreadedComments>
</file>

<file path=xl/threadedComments/threadedComment2.xml><?xml version="1.0" encoding="utf-8"?>
<ThreadedComments xmlns="http://schemas.microsoft.com/office/spreadsheetml/2018/threadedcomments" xmlns:x="http://schemas.openxmlformats.org/spreadsheetml/2006/main">
  <threadedComment ref="G3" dT="2023-12-12T23:44:32.13" personId="{02AC6766-1F35-4E28-A4DD-6EF221FEDF26}" id="{87835B2A-5099-4696-A4BB-00AB9A714BD6}">
    <text>원산지확인서(증명서)가 있다면 해당 국가를, 
없다면 "미상"으로 기재</text>
  </threadedComment>
  <threadedComment ref="L3" dT="2023-12-12T23:44:56.95" personId="{02AC6766-1F35-4E28-A4DD-6EF221FEDF26}" id="{AED8B72B-877B-44B5-B05B-99A129005DBA}">
    <text>거래명세서,
수입신고필증,
원산지확인서</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BE809-6566-4FBE-8B26-82B33569EF20}">
  <dimension ref="A1:Q133"/>
  <sheetViews>
    <sheetView tabSelected="1" topLeftCell="L1" workbookViewId="0">
      <pane ySplit="1" topLeftCell="A2" activePane="bottomLeft" state="frozen"/>
      <selection activeCell="J20" sqref="J20:O20"/>
      <selection pane="bottomLeft" activeCell="Q13" sqref="Q13"/>
    </sheetView>
  </sheetViews>
  <sheetFormatPr defaultRowHeight="17" x14ac:dyDescent="0.45"/>
  <cols>
    <col min="1" max="1" width="7.5" style="2" customWidth="1"/>
    <col min="2" max="2" width="24.5" style="2" bestFit="1" customWidth="1"/>
    <col min="3" max="3" width="12.5" style="2" customWidth="1"/>
    <col min="4" max="4" width="25" style="2" customWidth="1"/>
    <col min="5" max="5" width="33.33203125" style="2" customWidth="1"/>
    <col min="6" max="6" width="8.33203125" style="2" customWidth="1"/>
    <col min="7" max="7" width="18.33203125" style="2" customWidth="1"/>
    <col min="8" max="8" width="40.83203125" style="2" customWidth="1"/>
    <col min="9" max="10" width="8.6640625" style="2"/>
    <col min="11" max="11" width="9.58203125" style="2" bestFit="1" customWidth="1"/>
    <col min="12" max="12" width="10.25" style="2" bestFit="1" customWidth="1"/>
    <col min="13" max="13" width="10.25" style="2" customWidth="1"/>
    <col min="14" max="14" width="41.33203125" style="2" bestFit="1" customWidth="1"/>
    <col min="15" max="15" width="8.6640625" style="2"/>
    <col min="16" max="16" width="12.33203125" style="2" bestFit="1" customWidth="1"/>
    <col min="17" max="17" width="30.33203125" style="2" bestFit="1" customWidth="1"/>
    <col min="18" max="16384" width="8.6640625" style="2"/>
  </cols>
  <sheetData>
    <row r="1" spans="1:17" x14ac:dyDescent="0.45">
      <c r="A1" s="1" t="s">
        <v>0</v>
      </c>
      <c r="B1" s="1" t="s">
        <v>1</v>
      </c>
      <c r="C1" s="1" t="s">
        <v>2</v>
      </c>
      <c r="D1" s="1" t="s">
        <v>3</v>
      </c>
      <c r="E1" s="1" t="s">
        <v>4</v>
      </c>
      <c r="F1" s="1" t="s">
        <v>5</v>
      </c>
      <c r="G1" s="1" t="s">
        <v>6</v>
      </c>
      <c r="H1" s="1" t="s">
        <v>7</v>
      </c>
    </row>
    <row r="2" spans="1:17" x14ac:dyDescent="0.45">
      <c r="A2" s="107" t="s">
        <v>8</v>
      </c>
      <c r="B2" s="107" t="s">
        <v>561</v>
      </c>
      <c r="C2" s="3" t="str">
        <f>'BOM_(신조) HiNAS Nav'!B11</f>
        <v>SM0001</v>
      </c>
      <c r="D2" s="4" t="str">
        <f>'BOM_(신조) HiNAS Nav'!C11</f>
        <v>Monitor</v>
      </c>
      <c r="E2" s="4" t="str">
        <f>'BOM_(신조) HiNAS Nav'!E11</f>
        <v>27인치 모니터</v>
      </c>
      <c r="F2" s="5">
        <f>'BOM_(신조) HiNAS Nav'!I11</f>
        <v>1</v>
      </c>
      <c r="G2" s="4" t="str">
        <f>'BOM_(신조) HiNAS Nav'!M11</f>
        <v>MRC/테트라다인</v>
      </c>
      <c r="H2" s="4" t="str">
        <f>'BOM_(신조) HiNAS Nav'!O11</f>
        <v>RCU, RCU cable, RS485 cable, bracket 포함</v>
      </c>
      <c r="K2" s="6" t="s">
        <v>9</v>
      </c>
      <c r="L2" s="6" t="s">
        <v>10</v>
      </c>
      <c r="M2" s="6" t="s">
        <v>563</v>
      </c>
      <c r="N2" s="6" t="s">
        <v>564</v>
      </c>
      <c r="P2" s="109" t="s">
        <v>11</v>
      </c>
      <c r="Q2" s="110"/>
    </row>
    <row r="3" spans="1:17" x14ac:dyDescent="0.45">
      <c r="A3" s="107"/>
      <c r="B3" s="107"/>
      <c r="C3" s="3" t="str">
        <f>'BOM_(신조) HiNAS Nav'!B12</f>
        <v>SS0001</v>
      </c>
      <c r="D3" s="4" t="str">
        <f>'BOM_(신조) HiNAS Nav'!C12</f>
        <v>Server</v>
      </c>
      <c r="E3" s="4" t="str">
        <f>'BOM_(신조) HiNAS Nav'!E12</f>
        <v>메인 서버</v>
      </c>
      <c r="F3" s="5">
        <f>'BOM_(신조) HiNAS Nav'!I12</f>
        <v>1</v>
      </c>
      <c r="G3" s="4" t="str">
        <f>'BOM_(신조) HiNAS Nav'!M12</f>
        <v>테트라다인</v>
      </c>
      <c r="H3" s="4" t="str">
        <f>'BOM_(신조) HiNAS Nav'!O12</f>
        <v xml:space="preserve"> - </v>
      </c>
      <c r="K3" s="111" t="s">
        <v>12</v>
      </c>
      <c r="L3" s="8" t="s">
        <v>13</v>
      </c>
      <c r="M3" s="8" t="s">
        <v>565</v>
      </c>
      <c r="N3" s="8" t="s">
        <v>567</v>
      </c>
      <c r="P3" s="9" t="s">
        <v>14</v>
      </c>
      <c r="Q3" s="10" t="s">
        <v>15</v>
      </c>
    </row>
    <row r="4" spans="1:17" x14ac:dyDescent="0.45">
      <c r="A4" s="107"/>
      <c r="B4" s="107"/>
      <c r="C4" s="3" t="str">
        <f>'BOM_(신조) HiNAS Nav'!B13</f>
        <v>SZ0013</v>
      </c>
      <c r="D4" s="4" t="str">
        <f>'BOM_(신조) HiNAS Nav'!C13</f>
        <v>Trackball Mouse</v>
      </c>
      <c r="E4" s="4" t="str">
        <f>'BOM_(신조) HiNAS Nav'!E13</f>
        <v>마우스</v>
      </c>
      <c r="F4" s="5">
        <f>'BOM_(신조) HiNAS Nav'!I13</f>
        <v>2</v>
      </c>
      <c r="G4" s="4" t="str">
        <f>'BOM_(신조) HiNAS Nav'!M13</f>
        <v>쿠팡</v>
      </c>
      <c r="H4" s="4" t="str">
        <f>'BOM_(신조) HiNAS Nav'!O13</f>
        <v xml:space="preserve"> - </v>
      </c>
      <c r="K4" s="112"/>
      <c r="L4" s="8" t="s">
        <v>16</v>
      </c>
      <c r="M4" s="8" t="s">
        <v>565</v>
      </c>
      <c r="N4" s="8" t="s">
        <v>568</v>
      </c>
      <c r="P4" s="9" t="s">
        <v>17</v>
      </c>
      <c r="Q4" s="10" t="s">
        <v>575</v>
      </c>
    </row>
    <row r="5" spans="1:17" x14ac:dyDescent="0.45">
      <c r="A5" s="107"/>
      <c r="B5" s="107"/>
      <c r="C5" s="3" t="str">
        <f>'BOM_(신조) HiNAS Nav'!B14</f>
        <v>SC0004</v>
      </c>
      <c r="D5" s="4" t="str">
        <f>'BOM_(신조) HiNAS Nav'!C14</f>
        <v>NAS camera housing</v>
      </c>
      <c r="E5" s="4" t="str">
        <f>'BOM_(신조) HiNAS Nav'!E14</f>
        <v>하우징</v>
      </c>
      <c r="F5" s="5">
        <f>'BOM_(신조) HiNAS Nav'!I14</f>
        <v>1</v>
      </c>
      <c r="G5" s="4" t="str">
        <f>'BOM_(신조) HiNAS Nav'!M14</f>
        <v>MRC</v>
      </c>
      <c r="H5" s="4" t="str">
        <f>'BOM_(신조) HiNAS Nav'!O14</f>
        <v xml:space="preserve"> - </v>
      </c>
      <c r="K5" s="112"/>
      <c r="L5" s="8" t="s">
        <v>18</v>
      </c>
      <c r="M5" s="8" t="s">
        <v>565</v>
      </c>
      <c r="N5" s="8" t="s">
        <v>569</v>
      </c>
      <c r="P5" s="9" t="s">
        <v>19</v>
      </c>
      <c r="Q5" s="10" t="s">
        <v>20</v>
      </c>
    </row>
    <row r="6" spans="1:17" x14ac:dyDescent="0.45">
      <c r="A6" s="107"/>
      <c r="B6" s="107"/>
      <c r="C6" s="3" t="str">
        <f>'BOM_(신조) HiNAS Nav'!B15</f>
        <v>SC0010</v>
      </c>
      <c r="D6" s="4" t="str">
        <f>'BOM_(신조) HiNAS Nav'!C15</f>
        <v>EO Camera</v>
      </c>
      <c r="E6" s="4" t="str">
        <f>'BOM_(신조) HiNAS Nav'!E15</f>
        <v>광학 카메라(4K)</v>
      </c>
      <c r="F6" s="5">
        <f>'BOM_(신조) HiNAS Nav'!I15</f>
        <v>3</v>
      </c>
      <c r="G6" s="4" t="str">
        <f>'BOM_(신조) HiNAS Nav'!M15</f>
        <v>사이더스/e-con</v>
      </c>
      <c r="H6" s="4" t="str">
        <f>'BOM_(신조) HiNAS Nav'!O15</f>
        <v>w. GMSL cable</v>
      </c>
      <c r="K6" s="112"/>
      <c r="L6" s="8" t="s">
        <v>21</v>
      </c>
      <c r="M6" s="8" t="s">
        <v>565</v>
      </c>
      <c r="N6" s="8" t="s">
        <v>570</v>
      </c>
      <c r="P6" s="9" t="s">
        <v>22</v>
      </c>
      <c r="Q6" s="10" t="s">
        <v>23</v>
      </c>
    </row>
    <row r="7" spans="1:17" x14ac:dyDescent="0.45">
      <c r="A7" s="107"/>
      <c r="B7" s="107"/>
      <c r="C7" s="3" t="str">
        <f>'BOM_(신조) HiNAS Nav'!B16</f>
        <v>SC0002</v>
      </c>
      <c r="D7" s="4" t="str">
        <f>'BOM_(신조) HiNAS Nav'!C16</f>
        <v>IR camera</v>
      </c>
      <c r="E7" s="4" t="str">
        <f>'BOM_(신조) HiNAS Nav'!E16</f>
        <v>열화상 카메라</v>
      </c>
      <c r="F7" s="5">
        <f>'BOM_(신조) HiNAS Nav'!I16</f>
        <v>3</v>
      </c>
      <c r="G7" s="4" t="str">
        <f>'BOM_(신조) HiNAS Nav'!M16</f>
        <v>IRKEN/FLIR</v>
      </c>
      <c r="H7" s="4" t="str">
        <f>'BOM_(신조) HiNAS Nav'!O16</f>
        <v>w. VPC KIT</v>
      </c>
      <c r="K7" s="112"/>
      <c r="L7" s="8" t="s">
        <v>24</v>
      </c>
      <c r="M7" s="8" t="s">
        <v>565</v>
      </c>
      <c r="N7" s="8" t="s">
        <v>571</v>
      </c>
      <c r="P7" s="11"/>
      <c r="Q7" s="12"/>
    </row>
    <row r="8" spans="1:17" x14ac:dyDescent="0.45">
      <c r="A8" s="107"/>
      <c r="B8" s="107"/>
      <c r="C8" s="3" t="str">
        <f>'BOM_(신조) HiNAS Nav'!B17</f>
        <v>SC0003</v>
      </c>
      <c r="D8" s="4" t="str">
        <f>'BOM_(신조) HiNAS Nav'!C17</f>
        <v>IR camera window</v>
      </c>
      <c r="E8" s="4" t="str">
        <f>'BOM_(신조) HiNAS Nav'!E17</f>
        <v>열화상 카메라 윈도우</v>
      </c>
      <c r="F8" s="5">
        <f>'BOM_(신조) HiNAS Nav'!I17</f>
        <v>3</v>
      </c>
      <c r="G8" s="4" t="str">
        <f>'BOM_(신조) HiNAS Nav'!M17</f>
        <v>센서캠</v>
      </c>
      <c r="H8" s="4" t="str">
        <f>'BOM_(신조) HiNAS Nav'!O17</f>
        <v>1세대 용 (직경 42mm)</v>
      </c>
      <c r="K8" s="112"/>
      <c r="L8" s="8" t="s">
        <v>25</v>
      </c>
      <c r="M8" s="8" t="s">
        <v>565</v>
      </c>
      <c r="N8" s="8" t="s">
        <v>559</v>
      </c>
      <c r="P8" s="11"/>
      <c r="Q8" s="12"/>
    </row>
    <row r="9" spans="1:17" x14ac:dyDescent="0.45">
      <c r="A9" s="107"/>
      <c r="B9" s="107"/>
      <c r="C9" s="3" t="str">
        <f>'BOM_(신조) HiNAS Nav'!B18</f>
        <v>SC0005</v>
      </c>
      <c r="D9" s="4" t="str">
        <f>'BOM_(신조) HiNAS Nav'!C18</f>
        <v>NAS junction box</v>
      </c>
      <c r="E9" s="4" t="str">
        <f>'BOM_(신조) HiNAS Nav'!E18</f>
        <v>정션박스</v>
      </c>
      <c r="F9" s="5">
        <f>'BOM_(신조) HiNAS Nav'!I18</f>
        <v>1</v>
      </c>
      <c r="G9" s="4" t="str">
        <f>'BOM_(신조) HiNAS Nav'!M18</f>
        <v>MRC</v>
      </c>
      <c r="H9" s="4" t="str">
        <f>'BOM_(신조) HiNAS Nav'!O18</f>
        <v xml:space="preserve"> - </v>
      </c>
      <c r="K9" s="112"/>
      <c r="L9" s="8" t="s">
        <v>26</v>
      </c>
      <c r="M9" s="8" t="s">
        <v>565</v>
      </c>
      <c r="N9" s="8" t="s">
        <v>572</v>
      </c>
    </row>
    <row r="10" spans="1:17" x14ac:dyDescent="0.45">
      <c r="A10" s="107"/>
      <c r="B10" s="107"/>
      <c r="C10" s="3" t="str">
        <f>'BOM_(신조) HiNAS Nav'!B19</f>
        <v>SS0003</v>
      </c>
      <c r="D10" s="4" t="str">
        <f>'BOM_(신조) HiNAS Nav'!C19</f>
        <v>Single Board Computer</v>
      </c>
      <c r="E10" s="4" t="str">
        <f>'BOM_(신조) HiNAS Nav'!E19</f>
        <v>카메라와 서버 연동</v>
      </c>
      <c r="F10" s="5">
        <f>'BOM_(신조) HiNAS Nav'!I19</f>
        <v>1</v>
      </c>
      <c r="G10" s="4" t="str">
        <f>'BOM_(신조) HiNAS Nav'!M19</f>
        <v>사이더스/e-con</v>
      </c>
      <c r="H10" s="4" t="str">
        <f>'BOM_(신조) HiNAS Nav'!O19</f>
        <v xml:space="preserve"> - </v>
      </c>
      <c r="K10" s="112"/>
      <c r="L10" s="8" t="s">
        <v>28</v>
      </c>
      <c r="M10" s="8" t="s">
        <v>565</v>
      </c>
      <c r="N10" s="8" t="s">
        <v>573</v>
      </c>
    </row>
    <row r="11" spans="1:17" x14ac:dyDescent="0.45">
      <c r="A11" s="107"/>
      <c r="B11" s="107"/>
      <c r="C11" s="3" t="str">
        <f>'BOM_(신조) HiNAS Nav'!B20</f>
        <v>SZ0012</v>
      </c>
      <c r="D11" s="4" t="str">
        <f>'BOM_(신조) HiNAS Nav'!C20</f>
        <v>SMPS</v>
      </c>
      <c r="E11" s="4" t="str">
        <f>'BOM_(신조) HiNAS Nav'!E20</f>
        <v>Single Board Computer  전원 공급</v>
      </c>
      <c r="F11" s="5">
        <f>'BOM_(신조) HiNAS Nav'!I20</f>
        <v>1</v>
      </c>
      <c r="G11" s="4" t="str">
        <f>'BOM_(신조) HiNAS Nav'!M20</f>
        <v>파워캅</v>
      </c>
      <c r="H11" s="4" t="str">
        <f>'BOM_(신조) HiNAS Nav'!O20</f>
        <v xml:space="preserve"> - </v>
      </c>
      <c r="K11" s="112"/>
      <c r="L11" s="8" t="s">
        <v>31</v>
      </c>
      <c r="M11" s="8" t="s">
        <v>566</v>
      </c>
      <c r="N11" s="8" t="s">
        <v>570</v>
      </c>
    </row>
    <row r="12" spans="1:17" x14ac:dyDescent="0.45">
      <c r="A12" s="107"/>
      <c r="B12" s="107"/>
      <c r="C12" s="3" t="str">
        <f>'BOM_(신조) HiNAS Nav'!B21</f>
        <v>SZ0014</v>
      </c>
      <c r="D12" s="4" t="str">
        <f>'BOM_(신조) HiNAS Nav'!C21</f>
        <v>EMI/EMC filter</v>
      </c>
      <c r="E12" s="4" t="str">
        <f>'BOM_(신조) HiNAS Nav'!E21</f>
        <v>정션박스 전자파 차폐용</v>
      </c>
      <c r="F12" s="5">
        <f>'BOM_(신조) HiNAS Nav'!I21</f>
        <v>1</v>
      </c>
      <c r="G12" s="4" t="str">
        <f>'BOM_(신조) HiNAS Nav'!M21</f>
        <v>오키</v>
      </c>
      <c r="H12" s="4" t="str">
        <f>'BOM_(신조) HiNAS Nav'!O21</f>
        <v xml:space="preserve"> - </v>
      </c>
      <c r="K12" s="112"/>
      <c r="L12" s="8" t="s">
        <v>33</v>
      </c>
      <c r="M12" s="8" t="s">
        <v>566</v>
      </c>
      <c r="N12" s="8" t="s">
        <v>574</v>
      </c>
    </row>
    <row r="13" spans="1:17" x14ac:dyDescent="0.45">
      <c r="A13" s="107"/>
      <c r="B13" s="107"/>
      <c r="C13" s="3" t="str">
        <f>'BOM_(신조) HiNAS Nav'!B22</f>
        <v>SB0002</v>
      </c>
      <c r="D13" s="4" t="str">
        <f>'BOM_(신조) HiNAS Nav'!C22</f>
        <v>Network switch</v>
      </c>
      <c r="E13" s="4" t="str">
        <f>'BOM_(신조) HiNAS Nav'!E22</f>
        <v>허브 (선급인증품)</v>
      </c>
      <c r="F13" s="5">
        <f>'BOM_(신조) HiNAS Nav'!I22</f>
        <v>1</v>
      </c>
      <c r="G13" s="4" t="str">
        <f>'BOM_(신조) HiNAS Nav'!M22</f>
        <v>여의시스템</v>
      </c>
      <c r="H13" s="4" t="str">
        <f>'BOM_(신조) HiNAS Nav'!O22</f>
        <v xml:space="preserve"> - </v>
      </c>
      <c r="K13" s="112"/>
      <c r="L13" s="7" t="s">
        <v>34</v>
      </c>
      <c r="M13" s="8" t="s">
        <v>566</v>
      </c>
      <c r="N13" s="7" t="s">
        <v>572</v>
      </c>
    </row>
    <row r="14" spans="1:17" x14ac:dyDescent="0.45">
      <c r="A14" s="107"/>
      <c r="B14" s="107"/>
      <c r="C14" s="3" t="str">
        <f>'BOM_(신조) HiNAS Nav'!B23</f>
        <v>SE0003</v>
      </c>
      <c r="D14" s="4" t="str">
        <f>'BOM_(신조) HiNAS Nav'!C23</f>
        <v>UPS</v>
      </c>
      <c r="E14" s="4" t="str">
        <f>'BOM_(신조) HiNAS Nav'!E23</f>
        <v>1kVA, 무정전 전원 공급, Stand type</v>
      </c>
      <c r="F14" s="5">
        <f>'BOM_(신조) HiNAS Nav'!I23</f>
        <v>1</v>
      </c>
      <c r="G14" s="4" t="str">
        <f>'BOM_(신조) HiNAS Nav'!M23</f>
        <v>기호티이에스</v>
      </c>
      <c r="H14" s="4" t="str">
        <f>'BOM_(신조) HiNAS Nav'!O23</f>
        <v>마린필터, network card, 케이블 포함</v>
      </c>
      <c r="K14" s="126"/>
      <c r="L14" s="127"/>
      <c r="M14" s="127"/>
      <c r="N14" s="127"/>
    </row>
    <row r="15" spans="1:17" x14ac:dyDescent="0.45">
      <c r="A15" s="107"/>
      <c r="B15" s="107"/>
      <c r="C15" s="3" t="str">
        <f>'BOM_(신조) HiNAS Nav'!B24</f>
        <v>SZ0019</v>
      </c>
      <c r="D15" s="4" t="str">
        <f>'BOM_(신조) HiNAS Nav'!C24</f>
        <v>멀티탭</v>
      </c>
      <c r="E15" s="4" t="str">
        <f>'BOM_(신조) HiNAS Nav'!E24</f>
        <v>UPS용</v>
      </c>
      <c r="F15" s="5">
        <f>'BOM_(신조) HiNAS Nav'!I24</f>
        <v>2</v>
      </c>
      <c r="G15" s="4" t="str">
        <f>'BOM_(신조) HiNAS Nav'!M24</f>
        <v>쿠팡</v>
      </c>
      <c r="H15" s="4" t="str">
        <f>'BOM_(신조) HiNAS Nav'!O24</f>
        <v xml:space="preserve"> - </v>
      </c>
      <c r="K15" s="124"/>
      <c r="L15" s="125"/>
      <c r="M15" s="125"/>
      <c r="N15" s="125"/>
    </row>
    <row r="16" spans="1:17" x14ac:dyDescent="0.45">
      <c r="A16" s="107"/>
      <c r="B16" s="107"/>
      <c r="C16" s="3" t="str">
        <f>'BOM_(신조) HiNAS Nav'!B25</f>
        <v>SZ0020</v>
      </c>
      <c r="D16" s="4" t="str">
        <f>'BOM_(신조) HiNAS Nav'!C25</f>
        <v>C13-C14(MALE)</v>
      </c>
      <c r="E16" s="4" t="str">
        <f>'BOM_(신조) HiNAS Nav'!E25</f>
        <v>UPS용</v>
      </c>
      <c r="F16" s="5">
        <f>'BOM_(신조) HiNAS Nav'!I25</f>
        <v>3</v>
      </c>
      <c r="G16" s="4" t="str">
        <f>'BOM_(신조) HiNAS Nav'!M25</f>
        <v>한주전자</v>
      </c>
      <c r="H16" s="4" t="str">
        <f>'BOM_(신조) HiNAS Nav'!O25</f>
        <v xml:space="preserve"> - </v>
      </c>
    </row>
    <row r="17" spans="1:8" x14ac:dyDescent="0.45">
      <c r="A17" s="108" t="s">
        <v>8</v>
      </c>
      <c r="B17" s="108" t="s">
        <v>560</v>
      </c>
      <c r="C17" s="13" t="str">
        <f>'BOM_(신조) HiNAS Nav DOM'!B11</f>
        <v>SM0002</v>
      </c>
      <c r="D17" s="4" t="str">
        <f>'BOM_(신조) HiNAS Nav DOM'!C11</f>
        <v>Monitor</v>
      </c>
      <c r="E17" s="4" t="str">
        <f>'BOM_(신조) HiNAS Nav DOM'!E11</f>
        <v>DOM 58.4인치 모니터</v>
      </c>
      <c r="F17" s="5">
        <f>'BOM_(신조) HiNAS Nav DOM'!I11</f>
        <v>1</v>
      </c>
      <c r="G17" s="4" t="str">
        <f>'BOM_(신조) HiNAS Nav DOM'!M11</f>
        <v>MRC/테트라다인</v>
      </c>
      <c r="H17" s="4" t="str">
        <f>'BOM_(신조) HiNAS Nav DOM'!O11</f>
        <v>RCU, RCU cable, RS485 cable, bracket 포함</v>
      </c>
    </row>
    <row r="18" spans="1:8" x14ac:dyDescent="0.45">
      <c r="A18" s="108"/>
      <c r="B18" s="108"/>
      <c r="C18" s="13" t="str">
        <f>'BOM_(신조) HiNAS Nav DOM'!B12</f>
        <v>SS0001</v>
      </c>
      <c r="D18" s="4" t="str">
        <f>'BOM_(신조) HiNAS Nav DOM'!C12</f>
        <v>Server</v>
      </c>
      <c r="E18" s="4" t="str">
        <f>'BOM_(신조) HiNAS Nav DOM'!E12</f>
        <v>메인 서버</v>
      </c>
      <c r="F18" s="5">
        <f>'BOM_(신조) HiNAS Nav DOM'!I12</f>
        <v>1</v>
      </c>
      <c r="G18" s="4" t="str">
        <f>'BOM_(신조) HiNAS Nav DOM'!M12</f>
        <v>테트라다인</v>
      </c>
      <c r="H18" s="4" t="str">
        <f>'BOM_(신조) HiNAS Nav DOM'!O12</f>
        <v xml:space="preserve"> - </v>
      </c>
    </row>
    <row r="19" spans="1:8" x14ac:dyDescent="0.45">
      <c r="A19" s="108"/>
      <c r="B19" s="108"/>
      <c r="C19" s="13" t="str">
        <f>'BOM_(신조) HiNAS Nav DOM'!B13</f>
        <v>SZ0013</v>
      </c>
      <c r="D19" s="4" t="str">
        <f>'BOM_(신조) HiNAS Nav DOM'!C13</f>
        <v>Trackball Mouse</v>
      </c>
      <c r="E19" s="4" t="str">
        <f>'BOM_(신조) HiNAS Nav DOM'!E13</f>
        <v>마우스</v>
      </c>
      <c r="F19" s="5">
        <f>'BOM_(신조) HiNAS Nav DOM'!I13</f>
        <v>2</v>
      </c>
      <c r="G19" s="4" t="str">
        <f>'BOM_(신조) HiNAS Nav DOM'!M13</f>
        <v>쿠팡</v>
      </c>
      <c r="H19" s="4" t="str">
        <f>'BOM_(신조) HiNAS Nav DOM'!O13</f>
        <v xml:space="preserve"> - </v>
      </c>
    </row>
    <row r="20" spans="1:8" x14ac:dyDescent="0.45">
      <c r="A20" s="108"/>
      <c r="B20" s="108"/>
      <c r="C20" s="13" t="str">
        <f>'BOM_(신조) HiNAS Nav DOM'!B14</f>
        <v>SB0004</v>
      </c>
      <c r="D20" s="4" t="str">
        <f>'BOM_(신조) HiNAS Nav DOM'!C14</f>
        <v>Firewall</v>
      </c>
      <c r="E20" s="4" t="str">
        <f>'BOM_(신조) HiNAS Nav DOM'!E14</f>
        <v>방화벽 (선급인증품)</v>
      </c>
      <c r="F20" s="5">
        <f>'BOM_(신조) HiNAS Nav DOM'!I14</f>
        <v>1</v>
      </c>
      <c r="G20" s="4" t="str">
        <f>'BOM_(신조) HiNAS Nav DOM'!M14</f>
        <v>MRC</v>
      </c>
      <c r="H20" s="4" t="str">
        <f>'BOM_(신조) HiNAS Nav DOM'!O14</f>
        <v xml:space="preserve"> - </v>
      </c>
    </row>
    <row r="21" spans="1:8" x14ac:dyDescent="0.45">
      <c r="A21" s="108"/>
      <c r="B21" s="108"/>
      <c r="C21" s="13" t="str">
        <f>'BOM_(신조) HiNAS Nav DOM'!B15</f>
        <v>SB0002</v>
      </c>
      <c r="D21" s="4" t="str">
        <f>'BOM_(신조) HiNAS Nav DOM'!C15</f>
        <v>Network switch</v>
      </c>
      <c r="E21" s="4" t="str">
        <f>'BOM_(신조) HiNAS Nav DOM'!E15</f>
        <v>허브 (선급인증품)</v>
      </c>
      <c r="F21" s="5">
        <f>'BOM_(신조) HiNAS Nav DOM'!I15</f>
        <v>1</v>
      </c>
      <c r="G21" s="4" t="str">
        <f>'BOM_(신조) HiNAS Nav DOM'!M15</f>
        <v>여의시스템</v>
      </c>
      <c r="H21" s="4" t="str">
        <f>'BOM_(신조) HiNAS Nav DOM'!O15</f>
        <v xml:space="preserve"> - </v>
      </c>
    </row>
    <row r="22" spans="1:8" x14ac:dyDescent="0.45">
      <c r="A22" s="108"/>
      <c r="B22" s="108"/>
      <c r="C22" s="13" t="str">
        <f>'BOM_(신조) HiNAS Nav DOM'!B16</f>
        <v>SC0004</v>
      </c>
      <c r="D22" s="4" t="str">
        <f>'BOM_(신조) HiNAS Nav DOM'!C16</f>
        <v>NAS camera housing</v>
      </c>
      <c r="E22" s="4" t="str">
        <f>'BOM_(신조) HiNAS Nav DOM'!E16</f>
        <v>하우징</v>
      </c>
      <c r="F22" s="5">
        <f>'BOM_(신조) HiNAS Nav DOM'!I16</f>
        <v>1</v>
      </c>
      <c r="G22" s="4" t="str">
        <f>'BOM_(신조) HiNAS Nav DOM'!M16</f>
        <v>MRC</v>
      </c>
      <c r="H22" s="4" t="str">
        <f>'BOM_(신조) HiNAS Nav DOM'!O16</f>
        <v xml:space="preserve"> - </v>
      </c>
    </row>
    <row r="23" spans="1:8" x14ac:dyDescent="0.45">
      <c r="A23" s="108"/>
      <c r="B23" s="108"/>
      <c r="C23" s="13" t="str">
        <f>'BOM_(신조) HiNAS Nav DOM'!B17</f>
        <v>SC0010</v>
      </c>
      <c r="D23" s="4" t="str">
        <f>'BOM_(신조) HiNAS Nav DOM'!C17</f>
        <v>EO Camera</v>
      </c>
      <c r="E23" s="4" t="str">
        <f>'BOM_(신조) HiNAS Nav DOM'!E17</f>
        <v>광학 카메라(4K)</v>
      </c>
      <c r="F23" s="5">
        <f>'BOM_(신조) HiNAS Nav DOM'!I17</f>
        <v>3</v>
      </c>
      <c r="G23" s="4" t="str">
        <f>'BOM_(신조) HiNAS Nav DOM'!M17</f>
        <v>사이더스/e-con</v>
      </c>
      <c r="H23" s="4" t="str">
        <f>'BOM_(신조) HiNAS Nav DOM'!O17</f>
        <v>w. GMSL cable</v>
      </c>
    </row>
    <row r="24" spans="1:8" x14ac:dyDescent="0.45">
      <c r="A24" s="108"/>
      <c r="B24" s="108"/>
      <c r="C24" s="13" t="str">
        <f>'BOM_(신조) HiNAS Nav DOM'!B18</f>
        <v>SC0002</v>
      </c>
      <c r="D24" s="4" t="str">
        <f>'BOM_(신조) HiNAS Nav DOM'!C18</f>
        <v>IR camera</v>
      </c>
      <c r="E24" s="4" t="str">
        <f>'BOM_(신조) HiNAS Nav DOM'!E18</f>
        <v>열화상 카메라</v>
      </c>
      <c r="F24" s="5">
        <f>'BOM_(신조) HiNAS Nav DOM'!I18</f>
        <v>3</v>
      </c>
      <c r="G24" s="4" t="str">
        <f>'BOM_(신조) HiNAS Nav DOM'!M18</f>
        <v>IRKEN/FLIR</v>
      </c>
      <c r="H24" s="4" t="str">
        <f>'BOM_(신조) HiNAS Nav DOM'!O18</f>
        <v>w. VPC KIT</v>
      </c>
    </row>
    <row r="25" spans="1:8" x14ac:dyDescent="0.45">
      <c r="A25" s="108"/>
      <c r="B25" s="108"/>
      <c r="C25" s="13" t="str">
        <f>'BOM_(신조) HiNAS Nav DOM'!B19</f>
        <v>SC0003</v>
      </c>
      <c r="D25" s="4" t="str">
        <f>'BOM_(신조) HiNAS Nav DOM'!C19</f>
        <v>IR camera window</v>
      </c>
      <c r="E25" s="4" t="str">
        <f>'BOM_(신조) HiNAS Nav DOM'!E19</f>
        <v>열화상 카메라 윈도우</v>
      </c>
      <c r="F25" s="5">
        <f>'BOM_(신조) HiNAS Nav DOM'!I19</f>
        <v>3</v>
      </c>
      <c r="G25" s="4" t="str">
        <f>'BOM_(신조) HiNAS Nav DOM'!M19</f>
        <v>센서캠</v>
      </c>
      <c r="H25" s="4" t="str">
        <f>'BOM_(신조) HiNAS Nav DOM'!O19</f>
        <v>1세대 용 (직경 42mm)</v>
      </c>
    </row>
    <row r="26" spans="1:8" x14ac:dyDescent="0.45">
      <c r="A26" s="108"/>
      <c r="B26" s="108"/>
      <c r="C26" s="13" t="str">
        <f>'BOM_(신조) HiNAS Nav DOM'!B20</f>
        <v>SC0005</v>
      </c>
      <c r="D26" s="4" t="str">
        <f>'BOM_(신조) HiNAS Nav DOM'!C20</f>
        <v>NAS junction box</v>
      </c>
      <c r="E26" s="4" t="str">
        <f>'BOM_(신조) HiNAS Nav DOM'!E20</f>
        <v>정션박스</v>
      </c>
      <c r="F26" s="5">
        <f>'BOM_(신조) HiNAS Nav DOM'!I20</f>
        <v>1</v>
      </c>
      <c r="G26" s="4" t="str">
        <f>'BOM_(신조) HiNAS Nav DOM'!M20</f>
        <v>MRC</v>
      </c>
      <c r="H26" s="4" t="str">
        <f>'BOM_(신조) HiNAS Nav DOM'!O20</f>
        <v xml:space="preserve"> - </v>
      </c>
    </row>
    <row r="27" spans="1:8" x14ac:dyDescent="0.45">
      <c r="A27" s="108"/>
      <c r="B27" s="108"/>
      <c r="C27" s="13" t="str">
        <f>'BOM_(신조) HiNAS Nav DOM'!B21</f>
        <v>SS0003</v>
      </c>
      <c r="D27" s="4" t="str">
        <f>'BOM_(신조) HiNAS Nav DOM'!C21</f>
        <v>Single Board Computer</v>
      </c>
      <c r="E27" s="4" t="str">
        <f>'BOM_(신조) HiNAS Nav DOM'!E21</f>
        <v>카메라와 서버 연동</v>
      </c>
      <c r="F27" s="5">
        <f>'BOM_(신조) HiNAS Nav DOM'!I21</f>
        <v>1</v>
      </c>
      <c r="G27" s="4" t="str">
        <f>'BOM_(신조) HiNAS Nav DOM'!M21</f>
        <v>사이더스/e-con</v>
      </c>
      <c r="H27" s="4" t="str">
        <f>'BOM_(신조) HiNAS Nav DOM'!O21</f>
        <v xml:space="preserve"> - </v>
      </c>
    </row>
    <row r="28" spans="1:8" x14ac:dyDescent="0.45">
      <c r="A28" s="108"/>
      <c r="B28" s="108"/>
      <c r="C28" s="13" t="str">
        <f>'BOM_(신조) HiNAS Nav DOM'!B22</f>
        <v>SZ0012</v>
      </c>
      <c r="D28" s="4" t="str">
        <f>'BOM_(신조) HiNAS Nav DOM'!C22</f>
        <v>SMPS</v>
      </c>
      <c r="E28" s="4" t="str">
        <f>'BOM_(신조) HiNAS Nav DOM'!E22</f>
        <v>Single Board Computer  전원 공급</v>
      </c>
      <c r="F28" s="5">
        <f>'BOM_(신조) HiNAS Nav DOM'!I22</f>
        <v>1</v>
      </c>
      <c r="G28" s="4" t="str">
        <f>'BOM_(신조) HiNAS Nav DOM'!M22</f>
        <v>파워캅</v>
      </c>
      <c r="H28" s="4" t="str">
        <f>'BOM_(신조) HiNAS Nav DOM'!O22</f>
        <v xml:space="preserve"> - </v>
      </c>
    </row>
    <row r="29" spans="1:8" x14ac:dyDescent="0.45">
      <c r="A29" s="108"/>
      <c r="B29" s="108"/>
      <c r="C29" s="13" t="str">
        <f>'BOM_(신조) HiNAS Nav DOM'!B23</f>
        <v>SZ0014</v>
      </c>
      <c r="D29" s="4" t="str">
        <f>'BOM_(신조) HiNAS Nav DOM'!C23</f>
        <v>EMI/EMC filter</v>
      </c>
      <c r="E29" s="4" t="str">
        <f>'BOM_(신조) HiNAS Nav DOM'!E23</f>
        <v>정션박스 전자파 차폐용</v>
      </c>
      <c r="F29" s="5">
        <f>'BOM_(신조) HiNAS Nav DOM'!I23</f>
        <v>1</v>
      </c>
      <c r="G29" s="4" t="str">
        <f>'BOM_(신조) HiNAS Nav DOM'!M23</f>
        <v>오키</v>
      </c>
      <c r="H29" s="4" t="str">
        <f>'BOM_(신조) HiNAS Nav DOM'!O23</f>
        <v xml:space="preserve"> - </v>
      </c>
    </row>
    <row r="30" spans="1:8" x14ac:dyDescent="0.45">
      <c r="A30" s="108"/>
      <c r="B30" s="108"/>
      <c r="C30" s="13" t="str">
        <f>'BOM_(신조) HiNAS Nav DOM'!B24</f>
        <v>SE0003</v>
      </c>
      <c r="D30" s="4" t="str">
        <f>'BOM_(신조) HiNAS Nav DOM'!C24</f>
        <v>UPS</v>
      </c>
      <c r="E30" s="4" t="str">
        <f>'BOM_(신조) HiNAS Nav DOM'!E24</f>
        <v>1kVA, 무정전 전원 공급, Stand type</v>
      </c>
      <c r="F30" s="5">
        <f>'BOM_(신조) HiNAS Nav DOM'!I24</f>
        <v>1</v>
      </c>
      <c r="G30" s="4" t="str">
        <f>'BOM_(신조) HiNAS Nav DOM'!M24</f>
        <v>기호티이에스</v>
      </c>
      <c r="H30" s="4" t="str">
        <f>'BOM_(신조) HiNAS Nav DOM'!O24</f>
        <v>마린필터, network card, 케이블 포함</v>
      </c>
    </row>
    <row r="31" spans="1:8" x14ac:dyDescent="0.45">
      <c r="A31" s="108"/>
      <c r="B31" s="108"/>
      <c r="C31" s="13" t="str">
        <f>'BOM_(신조) HiNAS Nav DOM'!B25</f>
        <v>SZ0019</v>
      </c>
      <c r="D31" s="4" t="str">
        <f>'BOM_(신조) HiNAS Nav DOM'!C25</f>
        <v>멀티탭</v>
      </c>
      <c r="E31" s="4" t="str">
        <f>'BOM_(신조) HiNAS Nav DOM'!E25</f>
        <v>UPS용</v>
      </c>
      <c r="F31" s="5">
        <f>'BOM_(신조) HiNAS Nav DOM'!I25</f>
        <v>2</v>
      </c>
      <c r="G31" s="4" t="str">
        <f>'BOM_(신조) HiNAS Nav DOM'!M25</f>
        <v>쿠팡</v>
      </c>
      <c r="H31" s="4" t="str">
        <f>'BOM_(신조) HiNAS Nav DOM'!O25</f>
        <v xml:space="preserve"> - </v>
      </c>
    </row>
    <row r="32" spans="1:8" x14ac:dyDescent="0.45">
      <c r="A32" s="108"/>
      <c r="B32" s="108"/>
      <c r="C32" s="13" t="str">
        <f>'BOM_(신조) HiNAS Nav DOM'!B26</f>
        <v>SZ0020</v>
      </c>
      <c r="D32" s="4" t="str">
        <f>'BOM_(신조) HiNAS Nav DOM'!C26</f>
        <v>C13-C14(MALE)</v>
      </c>
      <c r="E32" s="4" t="str">
        <f>'BOM_(신조) HiNAS Nav DOM'!E26</f>
        <v>UPS용</v>
      </c>
      <c r="F32" s="5">
        <f>'BOM_(신조) HiNAS Nav DOM'!I26</f>
        <v>3</v>
      </c>
      <c r="G32" s="4" t="str">
        <f>'BOM_(신조) HiNAS Nav DOM'!M26</f>
        <v>한주전자</v>
      </c>
      <c r="H32" s="4" t="str">
        <f>'BOM_(신조) HiNAS Nav DOM'!O26</f>
        <v xml:space="preserve"> - </v>
      </c>
    </row>
    <row r="33" spans="1:8" x14ac:dyDescent="0.45">
      <c r="A33" s="107" t="s">
        <v>8</v>
      </c>
      <c r="B33" s="107" t="s">
        <v>35</v>
      </c>
      <c r="C33" s="3" t="str">
        <f>'BOM_(신조) HiNAS Control'!B11</f>
        <v>SM0002</v>
      </c>
      <c r="D33" s="4" t="str">
        <f>'BOM_(신조) HiNAS Control'!C11</f>
        <v>Monitor</v>
      </c>
      <c r="E33" s="4" t="str">
        <f>'BOM_(신조) HiNAS Control'!E11</f>
        <v>DOM 58.4인치 모니터</v>
      </c>
      <c r="F33" s="5">
        <f>'BOM_(신조) HiNAS Control'!I11</f>
        <v>1</v>
      </c>
      <c r="G33" s="4" t="str">
        <f>'BOM_(신조) HiNAS Control'!M11</f>
        <v>MRC/테트라다인</v>
      </c>
      <c r="H33" s="4" t="str">
        <f>'BOM_(신조) HiNAS Control'!O11</f>
        <v>RCU, RCU cable, RS485 cable, bracket 포함</v>
      </c>
    </row>
    <row r="34" spans="1:8" x14ac:dyDescent="0.45">
      <c r="A34" s="107"/>
      <c r="B34" s="107"/>
      <c r="C34" s="3" t="str">
        <f>'BOM_(신조) HiNAS Control'!B12</f>
        <v>SM0003</v>
      </c>
      <c r="D34" s="4" t="str">
        <f>'BOM_(신조) HiNAS Control'!C12</f>
        <v>Monitor</v>
      </c>
      <c r="E34" s="4" t="str">
        <f>'BOM_(신조) HiNAS Control'!E12</f>
        <v>32인치 모니터</v>
      </c>
      <c r="F34" s="5">
        <f>'BOM_(신조) HiNAS Control'!I12</f>
        <v>1</v>
      </c>
      <c r="G34" s="4" t="str">
        <f>'BOM_(신조) HiNAS Control'!M12</f>
        <v>MRC/테트라다인</v>
      </c>
      <c r="H34" s="4" t="str">
        <f>'BOM_(신조) HiNAS Control'!O12</f>
        <v>RCU, RCU cable, RS485 cable, bracket 포함</v>
      </c>
    </row>
    <row r="35" spans="1:8" x14ac:dyDescent="0.45">
      <c r="A35" s="107"/>
      <c r="B35" s="107"/>
      <c r="C35" s="3" t="str">
        <f>'BOM_(신조) HiNAS Control'!B13</f>
        <v>SS0001</v>
      </c>
      <c r="D35" s="4" t="str">
        <f>'BOM_(신조) HiNAS Control'!C13</f>
        <v>Server</v>
      </c>
      <c r="E35" s="4" t="str">
        <f>'BOM_(신조) HiNAS Control'!E13</f>
        <v>메인 서버</v>
      </c>
      <c r="F35" s="5">
        <f>'BOM_(신조) HiNAS Control'!I13</f>
        <v>2</v>
      </c>
      <c r="G35" s="4" t="str">
        <f>'BOM_(신조) HiNAS Control'!M13</f>
        <v>테트라다인</v>
      </c>
      <c r="H35" s="4" t="str">
        <f>'BOM_(신조) HiNAS Control'!O13</f>
        <v xml:space="preserve"> - </v>
      </c>
    </row>
    <row r="36" spans="1:8" x14ac:dyDescent="0.45">
      <c r="A36" s="107"/>
      <c r="B36" s="107"/>
      <c r="C36" s="3" t="str">
        <f>'BOM_(신조) HiNAS Control'!B14</f>
        <v>SS0002</v>
      </c>
      <c r="D36" s="4" t="str">
        <f>'BOM_(신조) HiNAS Control'!C14</f>
        <v>Client</v>
      </c>
      <c r="E36" s="4" t="str">
        <f>'BOM_(신조) HiNAS Control'!E14</f>
        <v>클라이언트 서버</v>
      </c>
      <c r="F36" s="5">
        <f>'BOM_(신조) HiNAS Control'!I14</f>
        <v>2</v>
      </c>
      <c r="G36" s="4" t="str">
        <f>'BOM_(신조) HiNAS Control'!M14</f>
        <v>테트라다인</v>
      </c>
      <c r="H36" s="4" t="str">
        <f>'BOM_(신조) HiNAS Control'!O14</f>
        <v xml:space="preserve"> - </v>
      </c>
    </row>
    <row r="37" spans="1:8" x14ac:dyDescent="0.45">
      <c r="A37" s="107"/>
      <c r="B37" s="107"/>
      <c r="C37" s="3" t="str">
        <f>'BOM_(신조) HiNAS Control'!B15</f>
        <v>SZ0006</v>
      </c>
      <c r="D37" s="4" t="str">
        <f>'BOM_(신조) HiNAS Control'!C15</f>
        <v>Keyboard with trackball</v>
      </c>
      <c r="E37" s="4" t="str">
        <f>'BOM_(신조) HiNAS Control'!E15</f>
        <v>선급인증품</v>
      </c>
      <c r="F37" s="5">
        <f>'BOM_(신조) HiNAS Control'!I15</f>
        <v>2</v>
      </c>
      <c r="G37" s="4" t="str">
        <f>'BOM_(신조) HiNAS Control'!M15</f>
        <v>피앤피컴포넌츠</v>
      </c>
      <c r="H37" s="4" t="str">
        <f>'BOM_(신조) HiNAS Control'!O15</f>
        <v>panel mount / flush type</v>
      </c>
    </row>
    <row r="38" spans="1:8" x14ac:dyDescent="0.45">
      <c r="A38" s="107"/>
      <c r="B38" s="107"/>
      <c r="C38" s="3" t="str">
        <f>'BOM_(신조) HiNAS Control'!B16</f>
        <v>SC0004</v>
      </c>
      <c r="D38" s="4" t="str">
        <f>'BOM_(신조) HiNAS Control'!C16</f>
        <v>NAS camera housing</v>
      </c>
      <c r="E38" s="4" t="str">
        <f>'BOM_(신조) HiNAS Control'!E16</f>
        <v>하우징</v>
      </c>
      <c r="F38" s="5">
        <f>'BOM_(신조) HiNAS Control'!I16</f>
        <v>1</v>
      </c>
      <c r="G38" s="4" t="str">
        <f>'BOM_(신조) HiNAS Control'!M16</f>
        <v>MRC</v>
      </c>
      <c r="H38" s="4" t="str">
        <f>'BOM_(신조) HiNAS Control'!O16</f>
        <v xml:space="preserve"> - </v>
      </c>
    </row>
    <row r="39" spans="1:8" x14ac:dyDescent="0.45">
      <c r="A39" s="107"/>
      <c r="B39" s="107"/>
      <c r="C39" s="3" t="str">
        <f>'BOM_(신조) HiNAS Control'!B17</f>
        <v>SC0010</v>
      </c>
      <c r="D39" s="4" t="str">
        <f>'BOM_(신조) HiNAS Control'!C17</f>
        <v>EO Camera</v>
      </c>
      <c r="E39" s="4" t="str">
        <f>'BOM_(신조) HiNAS Control'!E17</f>
        <v>광학 카메라(4K)</v>
      </c>
      <c r="F39" s="5">
        <f>'BOM_(신조) HiNAS Control'!I17</f>
        <v>3</v>
      </c>
      <c r="G39" s="4" t="str">
        <f>'BOM_(신조) HiNAS Control'!M17</f>
        <v>사이더스/e-con</v>
      </c>
      <c r="H39" s="4" t="str">
        <f>'BOM_(신조) HiNAS Control'!O17</f>
        <v>w. GMSL cable</v>
      </c>
    </row>
    <row r="40" spans="1:8" x14ac:dyDescent="0.45">
      <c r="A40" s="107"/>
      <c r="B40" s="107"/>
      <c r="C40" s="3" t="str">
        <f>'BOM_(신조) HiNAS Control'!B18</f>
        <v>SC0002</v>
      </c>
      <c r="D40" s="4" t="str">
        <f>'BOM_(신조) HiNAS Control'!C18</f>
        <v>IR camera</v>
      </c>
      <c r="E40" s="4" t="str">
        <f>'BOM_(신조) HiNAS Control'!E18</f>
        <v>열화상 카메라</v>
      </c>
      <c r="F40" s="5">
        <f>'BOM_(신조) HiNAS Control'!I18</f>
        <v>3</v>
      </c>
      <c r="G40" s="4" t="str">
        <f>'BOM_(신조) HiNAS Control'!M18</f>
        <v>IRKEN/FLIR</v>
      </c>
      <c r="H40" s="4" t="str">
        <f>'BOM_(신조) HiNAS Control'!O18</f>
        <v>w. VPC KIT</v>
      </c>
    </row>
    <row r="41" spans="1:8" x14ac:dyDescent="0.45">
      <c r="A41" s="107"/>
      <c r="B41" s="107"/>
      <c r="C41" s="3" t="str">
        <f>'BOM_(신조) HiNAS Control'!B19</f>
        <v>SC0003</v>
      </c>
      <c r="D41" s="4" t="str">
        <f>'BOM_(신조) HiNAS Control'!C19</f>
        <v>IR camera window</v>
      </c>
      <c r="E41" s="4" t="str">
        <f>'BOM_(신조) HiNAS Control'!E19</f>
        <v>열화상 카메라 윈도우</v>
      </c>
      <c r="F41" s="5">
        <f>'BOM_(신조) HiNAS Control'!I19</f>
        <v>3</v>
      </c>
      <c r="G41" s="4" t="str">
        <f>'BOM_(신조) HiNAS Control'!M19</f>
        <v>센서캠</v>
      </c>
      <c r="H41" s="4" t="str">
        <f>'BOM_(신조) HiNAS Control'!O19</f>
        <v>1세대 용 (직경 42mm)</v>
      </c>
    </row>
    <row r="42" spans="1:8" x14ac:dyDescent="0.45">
      <c r="A42" s="107"/>
      <c r="B42" s="107"/>
      <c r="C42" s="3" t="str">
        <f>'BOM_(신조) HiNAS Control'!B20</f>
        <v>SC0005</v>
      </c>
      <c r="D42" s="4" t="str">
        <f>'BOM_(신조) HiNAS Control'!C20</f>
        <v>NAS junction box</v>
      </c>
      <c r="E42" s="4" t="str">
        <f>'BOM_(신조) HiNAS Control'!E20</f>
        <v>정션박스</v>
      </c>
      <c r="F42" s="5">
        <f>'BOM_(신조) HiNAS Control'!I20</f>
        <v>1</v>
      </c>
      <c r="G42" s="4" t="str">
        <f>'BOM_(신조) HiNAS Control'!M20</f>
        <v>MRC</v>
      </c>
      <c r="H42" s="4" t="str">
        <f>'BOM_(신조) HiNAS Control'!O20</f>
        <v xml:space="preserve"> - </v>
      </c>
    </row>
    <row r="43" spans="1:8" x14ac:dyDescent="0.45">
      <c r="A43" s="107"/>
      <c r="B43" s="107"/>
      <c r="C43" s="3" t="str">
        <f>'BOM_(신조) HiNAS Control'!B21</f>
        <v>SS0003</v>
      </c>
      <c r="D43" s="4" t="str">
        <f>'BOM_(신조) HiNAS Control'!C21</f>
        <v>Single Board Computer</v>
      </c>
      <c r="E43" s="4" t="str">
        <f>'BOM_(신조) HiNAS Control'!E21</f>
        <v>카메라와 서버 연동</v>
      </c>
      <c r="F43" s="5">
        <f>'BOM_(신조) HiNAS Control'!I21</f>
        <v>1</v>
      </c>
      <c r="G43" s="4" t="str">
        <f>'BOM_(신조) HiNAS Control'!M21</f>
        <v>사이더스/e-con</v>
      </c>
      <c r="H43" s="4" t="str">
        <f>'BOM_(신조) HiNAS Control'!O21</f>
        <v xml:space="preserve"> - </v>
      </c>
    </row>
    <row r="44" spans="1:8" x14ac:dyDescent="0.45">
      <c r="A44" s="107"/>
      <c r="B44" s="107"/>
      <c r="C44" s="3" t="str">
        <f>'BOM_(신조) HiNAS Control'!B22</f>
        <v>SZ0012</v>
      </c>
      <c r="D44" s="4" t="str">
        <f>'BOM_(신조) HiNAS Control'!C22</f>
        <v>SMPS</v>
      </c>
      <c r="E44" s="4" t="str">
        <f>'BOM_(신조) HiNAS Control'!E22</f>
        <v>Single Board Computer  전원 공급</v>
      </c>
      <c r="F44" s="5">
        <f>'BOM_(신조) HiNAS Control'!I22</f>
        <v>1</v>
      </c>
      <c r="G44" s="4" t="str">
        <f>'BOM_(신조) HiNAS Control'!M22</f>
        <v>파워캅</v>
      </c>
      <c r="H44" s="4" t="str">
        <f>'BOM_(신조) HiNAS Control'!O22</f>
        <v xml:space="preserve"> - </v>
      </c>
    </row>
    <row r="45" spans="1:8" x14ac:dyDescent="0.45">
      <c r="A45" s="107"/>
      <c r="B45" s="107"/>
      <c r="C45" s="3" t="str">
        <f>'BOM_(신조) HiNAS Control'!B23</f>
        <v>SZ0014</v>
      </c>
      <c r="D45" s="4" t="str">
        <f>'BOM_(신조) HiNAS Control'!C23</f>
        <v>EMI/EMC filter</v>
      </c>
      <c r="E45" s="4" t="str">
        <f>'BOM_(신조) HiNAS Control'!E23</f>
        <v>정션박스 전자파 차폐용</v>
      </c>
      <c r="F45" s="5">
        <f>'BOM_(신조) HiNAS Control'!I23</f>
        <v>1</v>
      </c>
      <c r="G45" s="4" t="str">
        <f>'BOM_(신조) HiNAS Control'!M23</f>
        <v>오키</v>
      </c>
      <c r="H45" s="4" t="str">
        <f>'BOM_(신조) HiNAS Control'!O23</f>
        <v xml:space="preserve"> - </v>
      </c>
    </row>
    <row r="46" spans="1:8" x14ac:dyDescent="0.45">
      <c r="A46" s="107"/>
      <c r="B46" s="107"/>
      <c r="C46" s="3" t="str">
        <f>'BOM_(신조) HiNAS Control'!B24</f>
        <v>SZ0007</v>
      </c>
      <c r="D46" s="4" t="str">
        <f>'BOM_(신조) HiNAS Control'!C24</f>
        <v>Main rack</v>
      </c>
      <c r="E46" s="4" t="str">
        <f>'BOM_(신조) HiNAS Control'!E24</f>
        <v>서버/HUB 등 설치용 Rack</v>
      </c>
      <c r="F46" s="5">
        <f>'BOM_(신조) HiNAS Control'!I24</f>
        <v>1</v>
      </c>
      <c r="G46" s="4" t="str">
        <f>'BOM_(신조) HiNAS Control'!M24</f>
        <v>MRC</v>
      </c>
      <c r="H46" s="4" t="str">
        <f>'BOM_(신조) HiNAS Control'!O24</f>
        <v xml:space="preserve"> - </v>
      </c>
    </row>
    <row r="47" spans="1:8" x14ac:dyDescent="0.45">
      <c r="A47" s="107"/>
      <c r="B47" s="107"/>
      <c r="C47" s="3" t="str">
        <f>'BOM_(신조) HiNAS Control'!B25</f>
        <v>SB0002</v>
      </c>
      <c r="D47" s="4" t="str">
        <f>'BOM_(신조) HiNAS Control'!C25</f>
        <v>Network switch</v>
      </c>
      <c r="E47" s="4" t="str">
        <f>'BOM_(신조) HiNAS Control'!E25</f>
        <v>허브 (선급인증품)</v>
      </c>
      <c r="F47" s="5">
        <f>'BOM_(신조) HiNAS Control'!I25</f>
        <v>2</v>
      </c>
      <c r="G47" s="4" t="str">
        <f>'BOM_(신조) HiNAS Control'!M25</f>
        <v>여의시스템</v>
      </c>
      <c r="H47" s="4" t="str">
        <f>'BOM_(신조) HiNAS Control'!O25</f>
        <v xml:space="preserve"> - </v>
      </c>
    </row>
    <row r="48" spans="1:8" x14ac:dyDescent="0.45">
      <c r="A48" s="107"/>
      <c r="B48" s="107"/>
      <c r="C48" s="3" t="str">
        <f>'BOM_(신조) HiNAS Control'!B26</f>
        <v>SB0006</v>
      </c>
      <c r="D48" s="4" t="str">
        <f>'BOM_(신조) HiNAS Control'!C26</f>
        <v>Serial to Ethernet</v>
      </c>
      <c r="E48" s="4" t="str">
        <f>'BOM_(신조) HiNAS Control'!E26</f>
        <v>시리얼 통신을 LAN으로 변환</v>
      </c>
      <c r="F48" s="5">
        <f>'BOM_(신조) HiNAS Control'!I26</f>
        <v>2</v>
      </c>
      <c r="G48" s="4" t="str">
        <f>'BOM_(신조) HiNAS Control'!M26</f>
        <v>여의시스템</v>
      </c>
      <c r="H48" s="4" t="str">
        <f>'BOM_(신조) HiNAS Control'!O26</f>
        <v xml:space="preserve"> - </v>
      </c>
    </row>
    <row r="49" spans="1:8" x14ac:dyDescent="0.45">
      <c r="A49" s="107"/>
      <c r="B49" s="107"/>
      <c r="C49" s="3" t="str">
        <f>'BOM_(신조) HiNAS Control'!B27</f>
        <v>SB0013</v>
      </c>
      <c r="D49" s="4" t="str">
        <f>'BOM_(신조) HiNAS Control'!C27</f>
        <v>Actisense OPTO-4</v>
      </c>
      <c r="E49" s="4" t="str">
        <f>'BOM_(신조) HiNAS Control'!E27</f>
        <v>MOXA NPort5450i 케이블</v>
      </c>
      <c r="F49" s="5">
        <f>'BOM_(신조) HiNAS Control'!I27</f>
        <v>4</v>
      </c>
      <c r="G49" s="4" t="str">
        <f>'BOM_(신조) HiNAS Control'!M27</f>
        <v>마린크래프트</v>
      </c>
      <c r="H49" s="4" t="str">
        <f>'BOM_(신조) HiNAS Control'!O27</f>
        <v xml:space="preserve"> - </v>
      </c>
    </row>
    <row r="50" spans="1:8" x14ac:dyDescent="0.45">
      <c r="A50" s="107"/>
      <c r="B50" s="107"/>
      <c r="C50" s="3" t="str">
        <f>'BOM_(신조) HiNAS Control'!B28</f>
        <v>SB0004</v>
      </c>
      <c r="D50" s="4" t="str">
        <f>'BOM_(신조) HiNAS Control'!C28</f>
        <v>Firewall</v>
      </c>
      <c r="E50" s="4" t="str">
        <f>'BOM_(신조) HiNAS Control'!E28</f>
        <v>방화벽 (선급인증품)</v>
      </c>
      <c r="F50" s="5">
        <f>'BOM_(신조) HiNAS Control'!I28</f>
        <v>1</v>
      </c>
      <c r="G50" s="4" t="str">
        <f>'BOM_(신조) HiNAS Control'!M28</f>
        <v>MRC</v>
      </c>
      <c r="H50" s="4" t="str">
        <f>'BOM_(신조) HiNAS Control'!O28</f>
        <v xml:space="preserve"> - </v>
      </c>
    </row>
    <row r="51" spans="1:8" x14ac:dyDescent="0.45">
      <c r="A51" s="107"/>
      <c r="B51" s="107"/>
      <c r="C51" s="3" t="str">
        <f>'BOM_(신조) HiNAS Control'!B29</f>
        <v>SB0011</v>
      </c>
      <c r="D51" s="4" t="str">
        <f>'BOM_(신조) HiNAS Control'!C29</f>
        <v>Selector Switch</v>
      </c>
      <c r="E51" s="4" t="str">
        <f>'BOM_(신조) HiNAS Control'!E29</f>
        <v>HiNAS control 선택 스위치</v>
      </c>
      <c r="F51" s="5">
        <f>'BOM_(신조) HiNAS Control'!I29</f>
        <v>1</v>
      </c>
      <c r="G51" s="4" t="str">
        <f>'BOM_(신조) HiNAS Control'!M29</f>
        <v>MRC/YDK</v>
      </c>
      <c r="H51" s="4" t="str">
        <f>'BOM_(신조) HiNAS Control'!O29</f>
        <v>YOKOGAWA (w. DIMMER BOX)</v>
      </c>
    </row>
    <row r="52" spans="1:8" x14ac:dyDescent="0.45">
      <c r="A52" s="107"/>
      <c r="B52" s="107"/>
      <c r="C52" s="3" t="str">
        <f>'BOM_(신조) HiNAS Control'!B30</f>
        <v>SE0001</v>
      </c>
      <c r="D52" s="4" t="str">
        <f>'BOM_(신조) HiNAS Control'!C30</f>
        <v>UPS</v>
      </c>
      <c r="E52" s="4" t="str">
        <f>'BOM_(신조) HiNAS Control'!E30</f>
        <v>3kVA, 무정전 전원 공급, Rack type</v>
      </c>
      <c r="F52" s="5">
        <f>'BOM_(신조) HiNAS Control'!I30</f>
        <v>1</v>
      </c>
      <c r="G52" s="4" t="str">
        <f>'BOM_(신조) HiNAS Control'!M30</f>
        <v>기호티이에스</v>
      </c>
      <c r="H52" s="4" t="str">
        <f>'BOM_(신조) HiNAS Control'!O30</f>
        <v>마린필터, network card, 케이블 포함</v>
      </c>
    </row>
    <row r="53" spans="1:8" x14ac:dyDescent="0.45">
      <c r="A53" s="107"/>
      <c r="B53" s="107"/>
      <c r="C53" s="3" t="str">
        <f>'BOM_(신조) HiNAS Control'!B31</f>
        <v>SZ0019</v>
      </c>
      <c r="D53" s="4" t="str">
        <f>'BOM_(신조) HiNAS Control'!C31</f>
        <v>멀티탭</v>
      </c>
      <c r="E53" s="4" t="str">
        <f>'BOM_(신조) HiNAS Control'!E31</f>
        <v>UPS용</v>
      </c>
      <c r="F53" s="5">
        <f>'BOM_(신조) HiNAS Control'!I31</f>
        <v>2</v>
      </c>
      <c r="G53" s="4" t="str">
        <f>'BOM_(신조) HiNAS Control'!M31</f>
        <v>쿠팡</v>
      </c>
      <c r="H53" s="4" t="str">
        <f>'BOM_(신조) HiNAS Control'!O31</f>
        <v xml:space="preserve"> - </v>
      </c>
    </row>
    <row r="54" spans="1:8" x14ac:dyDescent="0.45">
      <c r="A54" s="107"/>
      <c r="B54" s="107"/>
      <c r="C54" s="3" t="str">
        <f>'BOM_(신조) HiNAS Control'!B32</f>
        <v>SZ0020</v>
      </c>
      <c r="D54" s="4" t="str">
        <f>'BOM_(신조) HiNAS Control'!C32</f>
        <v>C13-C14(MALE)</v>
      </c>
      <c r="E54" s="4" t="str">
        <f>'BOM_(신조) HiNAS Control'!E32</f>
        <v>UPS용</v>
      </c>
      <c r="F54" s="5">
        <f>'BOM_(신조) HiNAS Control'!I32</f>
        <v>3</v>
      </c>
      <c r="G54" s="4" t="str">
        <f>'BOM_(신조) HiNAS Control'!M32</f>
        <v>한주전자</v>
      </c>
      <c r="H54" s="4" t="str">
        <f>'BOM_(신조) HiNAS Control'!O32</f>
        <v xml:space="preserve"> - </v>
      </c>
    </row>
    <row r="55" spans="1:8" x14ac:dyDescent="0.45">
      <c r="A55" s="108" t="s">
        <v>8</v>
      </c>
      <c r="B55" s="108" t="s">
        <v>559</v>
      </c>
      <c r="C55" s="13" t="str">
        <f>'BOM_(신조) HiNAS Con V2'!B11</f>
        <v>SM0002</v>
      </c>
      <c r="D55" s="4" t="str">
        <f>'BOM_(신조) HiNAS Con V2'!C11</f>
        <v>Monitor</v>
      </c>
      <c r="E55" s="4" t="str">
        <f>'BOM_(신조) HiNAS Con V2'!E11</f>
        <v>DOM 58.4인치 모니터</v>
      </c>
      <c r="F55" s="5">
        <f>'BOM_(신조) HiNAS Con V2'!I11</f>
        <v>1</v>
      </c>
      <c r="G55" s="4" t="str">
        <f>'BOM_(신조) HiNAS Con V2'!M11</f>
        <v>MRC/테트라다인</v>
      </c>
      <c r="H55" s="4" t="str">
        <f>'BOM_(신조) HiNAS Con V2'!O11</f>
        <v>RCU, RCU cable, RS485 cable, bracket 포함</v>
      </c>
    </row>
    <row r="56" spans="1:8" x14ac:dyDescent="0.45">
      <c r="A56" s="108"/>
      <c r="B56" s="108"/>
      <c r="C56" s="13" t="str">
        <f>'BOM_(신조) HiNAS Con V2'!B12</f>
        <v>SM0003</v>
      </c>
      <c r="D56" s="4" t="str">
        <f>'BOM_(신조) HiNAS Con V2'!C12</f>
        <v>Monitor</v>
      </c>
      <c r="E56" s="4" t="str">
        <f>'BOM_(신조) HiNAS Con V2'!E12</f>
        <v>32인치 모니터</v>
      </c>
      <c r="F56" s="5">
        <f>'BOM_(신조) HiNAS Con V2'!I12</f>
        <v>1</v>
      </c>
      <c r="G56" s="4" t="str">
        <f>'BOM_(신조) HiNAS Con V2'!M12</f>
        <v>MRC/테트라다인</v>
      </c>
      <c r="H56" s="4" t="str">
        <f>'BOM_(신조) HiNAS Con V2'!O12</f>
        <v>RCU, RCU cable, RS485 cable, bracket 포함</v>
      </c>
    </row>
    <row r="57" spans="1:8" x14ac:dyDescent="0.45">
      <c r="A57" s="108"/>
      <c r="B57" s="108"/>
      <c r="C57" s="13" t="str">
        <f>'BOM_(신조) HiNAS Con V2'!B13</f>
        <v>SS0001</v>
      </c>
      <c r="D57" s="4" t="str">
        <f>'BOM_(신조) HiNAS Con V2'!C13</f>
        <v>Server</v>
      </c>
      <c r="E57" s="4" t="str">
        <f>'BOM_(신조) HiNAS Con V2'!E13</f>
        <v>메인 서버</v>
      </c>
      <c r="F57" s="5">
        <f>'BOM_(신조) HiNAS Con V2'!I13</f>
        <v>2</v>
      </c>
      <c r="G57" s="4" t="str">
        <f>'BOM_(신조) HiNAS Con V2'!M13</f>
        <v>테트라다인</v>
      </c>
      <c r="H57" s="4" t="str">
        <f>'BOM_(신조) HiNAS Con V2'!O13</f>
        <v xml:space="preserve"> - </v>
      </c>
    </row>
    <row r="58" spans="1:8" x14ac:dyDescent="0.45">
      <c r="A58" s="108"/>
      <c r="B58" s="108"/>
      <c r="C58" s="13" t="str">
        <f>'BOM_(신조) HiNAS Con V2'!B14</f>
        <v>SS0002</v>
      </c>
      <c r="D58" s="4" t="str">
        <f>'BOM_(신조) HiNAS Con V2'!C14</f>
        <v>Client</v>
      </c>
      <c r="E58" s="4" t="str">
        <f>'BOM_(신조) HiNAS Con V2'!E14</f>
        <v>클라이언트 서버</v>
      </c>
      <c r="F58" s="5">
        <f>'BOM_(신조) HiNAS Con V2'!I14</f>
        <v>2</v>
      </c>
      <c r="G58" s="4" t="str">
        <f>'BOM_(신조) HiNAS Con V2'!M14</f>
        <v>테트라다인</v>
      </c>
      <c r="H58" s="4" t="str">
        <f>'BOM_(신조) HiNAS Con V2'!O14</f>
        <v xml:space="preserve"> - </v>
      </c>
    </row>
    <row r="59" spans="1:8" x14ac:dyDescent="0.45">
      <c r="A59" s="108"/>
      <c r="B59" s="108"/>
      <c r="C59" s="13" t="str">
        <f>'BOM_(신조) HiNAS Con V2'!B15</f>
        <v>SZ0006</v>
      </c>
      <c r="D59" s="4" t="str">
        <f>'BOM_(신조) HiNAS Con V2'!C15</f>
        <v>Keyboard with trackball</v>
      </c>
      <c r="E59" s="4" t="str">
        <f>'BOM_(신조) HiNAS Con V2'!E15</f>
        <v>선급인증품</v>
      </c>
      <c r="F59" s="5">
        <f>'BOM_(신조) HiNAS Con V2'!I15</f>
        <v>2</v>
      </c>
      <c r="G59" s="4" t="str">
        <f>'BOM_(신조) HiNAS Con V2'!M15</f>
        <v>피앤피컴포넌츠</v>
      </c>
      <c r="H59" s="4" t="str">
        <f>'BOM_(신조) HiNAS Con V2'!O15</f>
        <v>panel mount / flush type</v>
      </c>
    </row>
    <row r="60" spans="1:8" x14ac:dyDescent="0.45">
      <c r="A60" s="108"/>
      <c r="B60" s="108"/>
      <c r="C60" s="13" t="str">
        <f>'BOM_(신조) HiNAS Con V2'!B16</f>
        <v>SC0020</v>
      </c>
      <c r="D60" s="4" t="str">
        <f>'BOM_(신조) HiNAS Con V2'!C16</f>
        <v>NAS camera housing</v>
      </c>
      <c r="E60" s="4" t="str">
        <f>'BOM_(신조) HiNAS Con V2'!E16</f>
        <v>하우징</v>
      </c>
      <c r="F60" s="5">
        <f>'BOM_(신조) HiNAS Con V2'!I16</f>
        <v>1</v>
      </c>
      <c r="G60" s="4" t="str">
        <f>'BOM_(신조) HiNAS Con V2'!M16</f>
        <v>MRC</v>
      </c>
      <c r="H60" s="4" t="str">
        <f>'BOM_(신조) HiNAS Con V2'!O16</f>
        <v xml:space="preserve"> - </v>
      </c>
    </row>
    <row r="61" spans="1:8" x14ac:dyDescent="0.45">
      <c r="A61" s="108"/>
      <c r="B61" s="108"/>
      <c r="C61" s="13" t="str">
        <f>'BOM_(신조) HiNAS Con V2'!B17</f>
        <v>SC0016</v>
      </c>
      <c r="D61" s="4" t="str">
        <f>'BOM_(신조) HiNAS Con V2'!C17</f>
        <v>NAS Camera housing cable</v>
      </c>
      <c r="E61" s="4" t="str">
        <f>'BOM_(신조) HiNAS Con V2'!E17</f>
        <v xml:space="preserve">2세대 카메라하우징 케이블 </v>
      </c>
      <c r="F61" s="5">
        <f>'BOM_(신조) HiNAS Con V2'!I17</f>
        <v>6</v>
      </c>
      <c r="G61" s="4" t="str">
        <f>'BOM_(신조) HiNAS Con V2'!M17</f>
        <v>미림테크놀러지</v>
      </c>
      <c r="H61" s="4" t="str">
        <f>'BOM_(신조) HiNAS Con V2'!O17</f>
        <v xml:space="preserve"> - </v>
      </c>
    </row>
    <row r="62" spans="1:8" x14ac:dyDescent="0.45">
      <c r="A62" s="108"/>
      <c r="B62" s="108"/>
      <c r="C62" s="13" t="str">
        <f>'BOM_(신조) HiNAS Con V2'!B18</f>
        <v>SC0018</v>
      </c>
      <c r="D62" s="4" t="str">
        <f>'BOM_(신조) HiNAS Con V2'!C18</f>
        <v>EO Camera</v>
      </c>
      <c r="E62" s="4" t="str">
        <f>'BOM_(신조) HiNAS Con V2'!E18</f>
        <v>광학 카메라(4K)</v>
      </c>
      <c r="F62" s="5">
        <f>'BOM_(신조) HiNAS Con V2'!I18</f>
        <v>1</v>
      </c>
      <c r="G62" s="4" t="str">
        <f>'BOM_(신조) HiNAS Con V2'!M18</f>
        <v>아르게스마린</v>
      </c>
      <c r="H62" s="4" t="str">
        <f>'BOM_(신조) HiNAS Con V2'!O18</f>
        <v>w. IR Ip-board, EO glass, Receptacle harness, Waterproof cap</v>
      </c>
    </row>
    <row r="63" spans="1:8" x14ac:dyDescent="0.45">
      <c r="A63" s="108"/>
      <c r="B63" s="108"/>
      <c r="C63" s="13" t="str">
        <f>'BOM_(신조) HiNAS Con V2'!B19</f>
        <v>SC0002</v>
      </c>
      <c r="D63" s="4" t="str">
        <f>'BOM_(신조) HiNAS Con V2'!C19</f>
        <v>IR camera</v>
      </c>
      <c r="E63" s="4" t="str">
        <f>'BOM_(신조) HiNAS Con V2'!E19</f>
        <v>열화상 카메라</v>
      </c>
      <c r="F63" s="5">
        <f>'BOM_(신조) HiNAS Con V2'!I19</f>
        <v>3</v>
      </c>
      <c r="G63" s="4" t="str">
        <f>'BOM_(신조) HiNAS Con V2'!M19</f>
        <v>IRKEN/FLIR</v>
      </c>
      <c r="H63" s="4" t="str">
        <f>'BOM_(신조) HiNAS Con V2'!O19</f>
        <v>w. VPC KIT</v>
      </c>
    </row>
    <row r="64" spans="1:8" x14ac:dyDescent="0.45">
      <c r="A64" s="108"/>
      <c r="B64" s="108"/>
      <c r="C64" s="13" t="str">
        <f>'BOM_(신조) HiNAS Con V2'!B20</f>
        <v>SC0019</v>
      </c>
      <c r="D64" s="4" t="str">
        <f>'BOM_(신조) HiNAS Con V2'!C20</f>
        <v>IR camera window</v>
      </c>
      <c r="E64" s="4" t="str">
        <f>'BOM_(신조) HiNAS Con V2'!E20</f>
        <v>열화상 카메라 윈도우</v>
      </c>
      <c r="F64" s="5">
        <f>'BOM_(신조) HiNAS Con V2'!I20</f>
        <v>3</v>
      </c>
      <c r="G64" s="4" t="str">
        <f>'BOM_(신조) HiNAS Con V2'!M20</f>
        <v>센서캠</v>
      </c>
      <c r="H64" s="4" t="str">
        <f>'BOM_(신조) HiNAS Con V2'!O20</f>
        <v>2세대 용 (직경 45mm)</v>
      </c>
    </row>
    <row r="65" spans="1:8" x14ac:dyDescent="0.45">
      <c r="A65" s="108"/>
      <c r="B65" s="108"/>
      <c r="C65" s="13" t="str">
        <f>'BOM_(신조) HiNAS Con V2'!B21</f>
        <v>SZ0007</v>
      </c>
      <c r="D65" s="4" t="str">
        <f>'BOM_(신조) HiNAS Con V2'!C21</f>
        <v>Main rack</v>
      </c>
      <c r="E65" s="4" t="str">
        <f>'BOM_(신조) HiNAS Con V2'!E21</f>
        <v>서버/HUB 등 설치용 Rack</v>
      </c>
      <c r="F65" s="5">
        <f>'BOM_(신조) HiNAS Con V2'!I21</f>
        <v>1</v>
      </c>
      <c r="G65" s="4" t="str">
        <f>'BOM_(신조) HiNAS Con V2'!M21</f>
        <v>MRC</v>
      </c>
      <c r="H65" s="4" t="str">
        <f>'BOM_(신조) HiNAS Con V2'!O21</f>
        <v xml:space="preserve"> - </v>
      </c>
    </row>
    <row r="66" spans="1:8" x14ac:dyDescent="0.45">
      <c r="A66" s="108"/>
      <c r="B66" s="108"/>
      <c r="C66" s="13" t="str">
        <f>'BOM_(신조) HiNAS Con V2'!B22</f>
        <v>SB0002</v>
      </c>
      <c r="D66" s="4" t="str">
        <f>'BOM_(신조) HiNAS Con V2'!C22</f>
        <v>Network switch</v>
      </c>
      <c r="E66" s="4" t="str">
        <f>'BOM_(신조) HiNAS Con V2'!E22</f>
        <v>허브 (선급인증품)</v>
      </c>
      <c r="F66" s="5">
        <f>'BOM_(신조) HiNAS Con V2'!I22</f>
        <v>2</v>
      </c>
      <c r="G66" s="4" t="str">
        <f>'BOM_(신조) HiNAS Con V2'!M22</f>
        <v>여의시스템</v>
      </c>
      <c r="H66" s="4" t="str">
        <f>'BOM_(신조) HiNAS Con V2'!O22</f>
        <v xml:space="preserve"> - </v>
      </c>
    </row>
    <row r="67" spans="1:8" x14ac:dyDescent="0.45">
      <c r="A67" s="108"/>
      <c r="B67" s="108"/>
      <c r="C67" s="13" t="str">
        <f>'BOM_(신조) HiNAS Con V2'!B23</f>
        <v>SB0006</v>
      </c>
      <c r="D67" s="4" t="str">
        <f>'BOM_(신조) HiNAS Con V2'!C23</f>
        <v>Serial to Ethernet</v>
      </c>
      <c r="E67" s="4" t="str">
        <f>'BOM_(신조) HiNAS Con V2'!E23</f>
        <v>시리얼 통신을 LAN으로 변환</v>
      </c>
      <c r="F67" s="5">
        <f>'BOM_(신조) HiNAS Con V2'!I23</f>
        <v>2</v>
      </c>
      <c r="G67" s="4" t="str">
        <f>'BOM_(신조) HiNAS Con V2'!M23</f>
        <v>여의시스템</v>
      </c>
      <c r="H67" s="4" t="str">
        <f>'BOM_(신조) HiNAS Con V2'!O23</f>
        <v xml:space="preserve"> - </v>
      </c>
    </row>
    <row r="68" spans="1:8" x14ac:dyDescent="0.45">
      <c r="A68" s="108"/>
      <c r="B68" s="108"/>
      <c r="C68" s="13" t="str">
        <f>'BOM_(신조) HiNAS Con V2'!B24</f>
        <v>SB0013</v>
      </c>
      <c r="D68" s="4" t="str">
        <f>'BOM_(신조) HiNAS Con V2'!C24</f>
        <v>Actisense OPTO-4</v>
      </c>
      <c r="E68" s="4" t="str">
        <f>'BOM_(신조) HiNAS Con V2'!E24</f>
        <v>MOXA NPort5450i 케이블</v>
      </c>
      <c r="F68" s="5">
        <f>'BOM_(신조) HiNAS Con V2'!I24</f>
        <v>4</v>
      </c>
      <c r="G68" s="4" t="str">
        <f>'BOM_(신조) HiNAS Con V2'!M24</f>
        <v>마린크래프트</v>
      </c>
      <c r="H68" s="4" t="str">
        <f>'BOM_(신조) HiNAS Con V2'!O24</f>
        <v xml:space="preserve"> - </v>
      </c>
    </row>
    <row r="69" spans="1:8" x14ac:dyDescent="0.45">
      <c r="A69" s="108"/>
      <c r="B69" s="108"/>
      <c r="C69" s="13" t="str">
        <f>'BOM_(신조) HiNAS Con V2'!B25</f>
        <v>SB0004</v>
      </c>
      <c r="D69" s="4" t="str">
        <f>'BOM_(신조) HiNAS Con V2'!C25</f>
        <v>Firewall</v>
      </c>
      <c r="E69" s="4" t="str">
        <f>'BOM_(신조) HiNAS Con V2'!E25</f>
        <v>방화벽 (선급인증품)</v>
      </c>
      <c r="F69" s="5">
        <f>'BOM_(신조) HiNAS Con V2'!I25</f>
        <v>1</v>
      </c>
      <c r="G69" s="4" t="str">
        <f>'BOM_(신조) HiNAS Con V2'!M25</f>
        <v>MRC</v>
      </c>
      <c r="H69" s="4" t="str">
        <f>'BOM_(신조) HiNAS Con V2'!O25</f>
        <v xml:space="preserve"> - </v>
      </c>
    </row>
    <row r="70" spans="1:8" x14ac:dyDescent="0.45">
      <c r="A70" s="108"/>
      <c r="B70" s="108"/>
      <c r="C70" s="13" t="str">
        <f>'BOM_(신조) HiNAS Con V2'!B26</f>
        <v>SB0011</v>
      </c>
      <c r="D70" s="4" t="str">
        <f>'BOM_(신조) HiNAS Con V2'!C26</f>
        <v>Selector Switch</v>
      </c>
      <c r="E70" s="4" t="str">
        <f>'BOM_(신조) HiNAS Con V2'!E26</f>
        <v>HiNAS control 선택 스위치</v>
      </c>
      <c r="F70" s="5">
        <f>'BOM_(신조) HiNAS Con V2'!I26</f>
        <v>1</v>
      </c>
      <c r="G70" s="4" t="str">
        <f>'BOM_(신조) HiNAS Con V2'!M26</f>
        <v>MRC/YDK</v>
      </c>
      <c r="H70" s="4" t="str">
        <f>'BOM_(신조) HiNAS Con V2'!O26</f>
        <v>YOKOGAWA (w. DIMMER BOX)</v>
      </c>
    </row>
    <row r="71" spans="1:8" x14ac:dyDescent="0.45">
      <c r="A71" s="108"/>
      <c r="B71" s="108"/>
      <c r="C71" s="13" t="str">
        <f>'BOM_(신조) HiNAS Con V2'!B27</f>
        <v>SE0001</v>
      </c>
      <c r="D71" s="4" t="str">
        <f>'BOM_(신조) HiNAS Con V2'!C27</f>
        <v>UPS</v>
      </c>
      <c r="E71" s="4" t="str">
        <f>'BOM_(신조) HiNAS Con V2'!E27</f>
        <v>3kVA, 무정전 전원 공급, Rack type</v>
      </c>
      <c r="F71" s="5">
        <f>'BOM_(신조) HiNAS Con V2'!I27</f>
        <v>1</v>
      </c>
      <c r="G71" s="4" t="str">
        <f>'BOM_(신조) HiNAS Con V2'!M27</f>
        <v>기호티이에스</v>
      </c>
      <c r="H71" s="4" t="str">
        <f>'BOM_(신조) HiNAS Con V2'!O27</f>
        <v>마린필터, network card, 케이블 포함</v>
      </c>
    </row>
    <row r="72" spans="1:8" x14ac:dyDescent="0.45">
      <c r="A72" s="108"/>
      <c r="B72" s="108"/>
      <c r="C72" s="13" t="str">
        <f>'BOM_(신조) HiNAS Con V2'!B28</f>
        <v>SZ0019</v>
      </c>
      <c r="D72" s="4" t="str">
        <f>'BOM_(신조) HiNAS Con V2'!C28</f>
        <v>멀티탭</v>
      </c>
      <c r="E72" s="4" t="str">
        <f>'BOM_(신조) HiNAS Con V2'!E28</f>
        <v>UPS용</v>
      </c>
      <c r="F72" s="5">
        <f>'BOM_(신조) HiNAS Con V2'!I28</f>
        <v>2</v>
      </c>
      <c r="G72" s="4" t="str">
        <f>'BOM_(신조) HiNAS Con V2'!M28</f>
        <v>쿠팡</v>
      </c>
      <c r="H72" s="4" t="str">
        <f>'BOM_(신조) HiNAS Con V2'!O28</f>
        <v xml:space="preserve"> - </v>
      </c>
    </row>
    <row r="73" spans="1:8" x14ac:dyDescent="0.45">
      <c r="A73" s="108"/>
      <c r="B73" s="108"/>
      <c r="C73" s="13" t="str">
        <f>'BOM_(신조) HiNAS Con V2'!B29</f>
        <v>SZ0020</v>
      </c>
      <c r="D73" s="4" t="str">
        <f>'BOM_(신조) HiNAS Con V2'!C29</f>
        <v>C13-C14(MALE)</v>
      </c>
      <c r="E73" s="4" t="str">
        <f>'BOM_(신조) HiNAS Con V2'!E29</f>
        <v>UPS용</v>
      </c>
      <c r="F73" s="5">
        <f>'BOM_(신조) HiNAS Con V2'!I29</f>
        <v>3</v>
      </c>
      <c r="G73" s="4" t="str">
        <f>'BOM_(신조) HiNAS Con V2'!M29</f>
        <v>한주전자</v>
      </c>
      <c r="H73" s="4" t="str">
        <f>'BOM_(신조) HiNAS Con V2'!O29</f>
        <v xml:space="preserve"> - </v>
      </c>
    </row>
    <row r="74" spans="1:8" x14ac:dyDescent="0.45">
      <c r="A74" s="108"/>
      <c r="B74" s="108"/>
      <c r="C74" s="13" t="str">
        <f>'BOM_(신조) HiNAS Con V2'!B30</f>
        <v>SB0022</v>
      </c>
      <c r="D74" s="4" t="str">
        <f>'BOM_(신조) HiNAS Con V2'!C30</f>
        <v>Network PoE Switch</v>
      </c>
      <c r="E74" s="4" t="str">
        <f>'BOM_(신조) HiNAS Con V2'!E30</f>
        <v>IP 카메라에 전원 공급</v>
      </c>
      <c r="F74" s="5">
        <f>'BOM_(신조) HiNAS Con V2'!I30</f>
        <v>1</v>
      </c>
      <c r="G74" s="4" t="str">
        <f>'BOM_(신조) HiNAS Con V2'!M30</f>
        <v>여의시스템</v>
      </c>
      <c r="H74" s="4" t="str">
        <f>'BOM_(신조) HiNAS Con V2'!O30</f>
        <v xml:space="preserve"> - </v>
      </c>
    </row>
    <row r="75" spans="1:8" x14ac:dyDescent="0.45">
      <c r="A75" s="108"/>
      <c r="B75" s="108"/>
      <c r="C75" s="13" t="str">
        <f>'BOM_(신조) HiNAS Con V2'!B31</f>
        <v>SB0025</v>
      </c>
      <c r="D75" s="4" t="str">
        <f>'BOM_(신조) HiNAS Con V2'!C31</f>
        <v>UNO2-PS-1AC-24DC-240W</v>
      </c>
      <c r="E75" s="4" t="str">
        <f>'BOM_(신조) HiNAS Con V2'!E31</f>
        <v>POE SWITCH 용 240W 파워 서플라이</v>
      </c>
      <c r="F75" s="5">
        <f>'BOM_(신조) HiNAS Con V2'!I31</f>
        <v>1</v>
      </c>
      <c r="G75" s="4" t="str">
        <f>'BOM_(신조) HiNAS Con V2'!M31</f>
        <v>세종전자</v>
      </c>
      <c r="H75" s="4">
        <f>'BOM_(신조) HiNAS Con V2'!O31</f>
        <v>0</v>
      </c>
    </row>
    <row r="76" spans="1:8" x14ac:dyDescent="0.45">
      <c r="A76" s="107" t="s">
        <v>8</v>
      </c>
      <c r="B76" s="107" t="s">
        <v>36</v>
      </c>
      <c r="C76" s="3" t="str">
        <f>'BOM_(신조) HiNAS SVM'!B11</f>
        <v>SM0001</v>
      </c>
      <c r="D76" s="4" t="str">
        <f>'BOM_(신조) HiNAS SVM'!C11</f>
        <v>Monitor</v>
      </c>
      <c r="E76" s="4" t="str">
        <f>'BOM_(신조) HiNAS SVM'!E11</f>
        <v>27인치 모니터</v>
      </c>
      <c r="F76" s="5">
        <f>'BOM_(신조) HiNAS SVM'!I11</f>
        <v>1</v>
      </c>
      <c r="G76" s="4" t="str">
        <f>'BOM_(신조) HiNAS SVM'!M11</f>
        <v>MRC/테트라다인</v>
      </c>
      <c r="H76" s="4" t="str">
        <f>'BOM_(신조) HiNAS SVM'!O11</f>
        <v>RCU, RCU cable, RS485 cable, bracket 포함</v>
      </c>
    </row>
    <row r="77" spans="1:8" x14ac:dyDescent="0.45">
      <c r="A77" s="107"/>
      <c r="B77" s="107"/>
      <c r="C77" s="3" t="str">
        <f>'BOM_(신조) HiNAS SVM'!B12</f>
        <v>SS0001</v>
      </c>
      <c r="D77" s="4" t="str">
        <f>'BOM_(신조) HiNAS SVM'!C12</f>
        <v>Server</v>
      </c>
      <c r="E77" s="4" t="str">
        <f>'BOM_(신조) HiNAS SVM'!E12</f>
        <v>메인 서버</v>
      </c>
      <c r="F77" s="5">
        <f>'BOM_(신조) HiNAS SVM'!I12</f>
        <v>1</v>
      </c>
      <c r="G77" s="4" t="str">
        <f>'BOM_(신조) HiNAS SVM'!M12</f>
        <v>테트라다인</v>
      </c>
      <c r="H77" s="4" t="str">
        <f>'BOM_(신조) HiNAS SVM'!O12</f>
        <v xml:space="preserve"> - </v>
      </c>
    </row>
    <row r="78" spans="1:8" x14ac:dyDescent="0.45">
      <c r="A78" s="107"/>
      <c r="B78" s="107"/>
      <c r="C78" s="3" t="str">
        <f>'BOM_(신조) HiNAS SVM'!B13</f>
        <v>SC0006</v>
      </c>
      <c r="D78" s="4" t="str">
        <f>'BOM_(신조) HiNAS SVM'!C13</f>
        <v>IP camera</v>
      </c>
      <c r="E78" s="4" t="str">
        <f>'BOM_(신조) HiNAS SVM'!E13</f>
        <v>카메라</v>
      </c>
      <c r="F78" s="5">
        <f>'BOM_(신조) HiNAS SVM'!I13</f>
        <v>6</v>
      </c>
      <c r="G78" s="4" t="str">
        <f>'BOM_(신조) HiNAS SVM'!M13</f>
        <v>아르게스마린</v>
      </c>
      <c r="H78" s="4" t="str">
        <f>'BOM_(신조) HiNAS SVM'!O13</f>
        <v xml:space="preserve"> - </v>
      </c>
    </row>
    <row r="79" spans="1:8" x14ac:dyDescent="0.45">
      <c r="A79" s="107"/>
      <c r="B79" s="107"/>
      <c r="C79" s="3" t="str">
        <f>'BOM_(신조) HiNAS SVM'!B14</f>
        <v>SB0022</v>
      </c>
      <c r="D79" s="4" t="str">
        <f>'BOM_(신조) HiNAS SVM'!C14</f>
        <v>Network PoE Switch</v>
      </c>
      <c r="E79" s="4" t="str">
        <f>'BOM_(신조) HiNAS SVM'!E14</f>
        <v>IP 카메라에 전원 공급</v>
      </c>
      <c r="F79" s="5">
        <f>'BOM_(신조) HiNAS SVM'!I14</f>
        <v>1</v>
      </c>
      <c r="G79" s="4" t="str">
        <f>'BOM_(신조) HiNAS SVM'!M14</f>
        <v>여의시스템</v>
      </c>
      <c r="H79" s="4" t="str">
        <f>'BOM_(신조) HiNAS SVM'!O14</f>
        <v xml:space="preserve"> - </v>
      </c>
    </row>
    <row r="80" spans="1:8" x14ac:dyDescent="0.45">
      <c r="A80" s="107"/>
      <c r="B80" s="107"/>
      <c r="C80" s="3" t="str">
        <f>'BOM_(신조) HiNAS SVM'!B15</f>
        <v>SB0002</v>
      </c>
      <c r="D80" s="4" t="str">
        <f>'BOM_(신조) HiNAS SVM'!C15</f>
        <v>Network switch</v>
      </c>
      <c r="E80" s="4" t="str">
        <f>'BOM_(신조) HiNAS SVM'!E15</f>
        <v>허브 (선급인증품)</v>
      </c>
      <c r="F80" s="5">
        <f>'BOM_(신조) HiNAS SVM'!I15</f>
        <v>1</v>
      </c>
      <c r="G80" s="4" t="str">
        <f>'BOM_(신조) HiNAS SVM'!M15</f>
        <v>여의시스템</v>
      </c>
      <c r="H80" s="4" t="str">
        <f>'BOM_(신조) HiNAS SVM'!O15</f>
        <v xml:space="preserve"> - </v>
      </c>
    </row>
    <row r="81" spans="1:8" x14ac:dyDescent="0.45">
      <c r="A81" s="107"/>
      <c r="B81" s="107"/>
      <c r="C81" s="3" t="str">
        <f>'BOM_(신조) HiNAS SVM'!B16</f>
        <v>SZ0017</v>
      </c>
      <c r="D81" s="4" t="str">
        <f>'BOM_(신조) HiNAS SVM'!C16</f>
        <v>Junction Box</v>
      </c>
      <c r="E81" s="4" t="str">
        <f>'BOM_(신조) HiNAS SVM'!E16</f>
        <v>PoE Extender 용</v>
      </c>
      <c r="F81" s="5">
        <f>'BOM_(신조) HiNAS SVM'!I16</f>
        <v>1</v>
      </c>
      <c r="G81" s="4" t="str">
        <f>'BOM_(신조) HiNAS SVM'!M16</f>
        <v>MRC</v>
      </c>
      <c r="H81" s="4" t="str">
        <f>'BOM_(신조) HiNAS SVM'!O16</f>
        <v>명판 포함</v>
      </c>
    </row>
    <row r="82" spans="1:8" x14ac:dyDescent="0.45">
      <c r="A82" s="107"/>
      <c r="B82" s="107"/>
      <c r="C82" s="3" t="str">
        <f>'BOM_(신조) HiNAS SVM'!B17</f>
        <v>SB0021</v>
      </c>
      <c r="D82" s="4" t="str">
        <f>'BOM_(신조) HiNAS SVM'!C17</f>
        <v>PoE-Extender</v>
      </c>
      <c r="E82" s="4" t="str">
        <f>'BOM_(신조) HiNAS SVM'!E17</f>
        <v>LAN 통신 거리 연장</v>
      </c>
      <c r="F82" s="5">
        <f>'BOM_(신조) HiNAS SVM'!I17</f>
        <v>1</v>
      </c>
      <c r="G82" s="4" t="str">
        <f>'BOM_(신조) HiNAS SVM'!M17</f>
        <v>아르게스마린</v>
      </c>
      <c r="H82" s="4" t="str">
        <f>'BOM_(신조) HiNAS SVM'!O17</f>
        <v xml:space="preserve"> - </v>
      </c>
    </row>
    <row r="83" spans="1:8" x14ac:dyDescent="0.45">
      <c r="A83" s="107"/>
      <c r="B83" s="107"/>
      <c r="C83" s="3" t="str">
        <f>'BOM_(신조) HiNAS SVM'!B18</f>
        <v>SB0014</v>
      </c>
      <c r="D83" s="4" t="str">
        <f>'BOM_(신조) HiNAS SVM'!C18</f>
        <v>UNO2-PS-1AC-48DC-240W</v>
      </c>
      <c r="E83" s="4" t="str">
        <f>'BOM_(신조) HiNAS SVM'!E18</f>
        <v>PoE HUB용 240W 파워 서플라이</v>
      </c>
      <c r="F83" s="5">
        <f>'BOM_(신조) HiNAS SVM'!I18</f>
        <v>2</v>
      </c>
      <c r="G83" s="4" t="str">
        <f>'BOM_(신조) HiNAS SVM'!M18</f>
        <v>세종전자</v>
      </c>
      <c r="H83" s="4" t="str">
        <f>'BOM_(신조) HiNAS SVM'!O18</f>
        <v xml:space="preserve"> - </v>
      </c>
    </row>
    <row r="84" spans="1:8" x14ac:dyDescent="0.45">
      <c r="A84" s="107"/>
      <c r="B84" s="107"/>
      <c r="C84" s="3" t="str">
        <f>'BOM_(신조) HiNAS SVM'!B19</f>
        <v>SZ0002</v>
      </c>
      <c r="D84" s="4" t="str">
        <f>'BOM_(신조) HiNAS SVM'!C19</f>
        <v>Junction Box</v>
      </c>
      <c r="E84" s="4" t="str">
        <f>'BOM_(신조) HiNAS SVM'!E19</f>
        <v>LRP Injector용</v>
      </c>
      <c r="F84" s="5">
        <f>'BOM_(신조) HiNAS SVM'!I19</f>
        <v>5</v>
      </c>
      <c r="G84" s="4" t="str">
        <f>'BOM_(신조) HiNAS SVM'!M19</f>
        <v>MRC</v>
      </c>
      <c r="H84" s="4" t="str">
        <f>'BOM_(신조) HiNAS SVM'!O19</f>
        <v>명판 포함</v>
      </c>
    </row>
    <row r="85" spans="1:8" x14ac:dyDescent="0.45">
      <c r="A85" s="107"/>
      <c r="B85" s="107"/>
      <c r="C85" s="3" t="str">
        <f>'BOM_(신조) HiNAS SVM'!B20</f>
        <v>SZ0010</v>
      </c>
      <c r="D85" s="4" t="str">
        <f>'BOM_(신조) HiNAS SVM'!C20</f>
        <v>Junction Box</v>
      </c>
      <c r="E85" s="4" t="str">
        <f>'BOM_(신조) HiNAS SVM'!E20</f>
        <v>LRP Extender용</v>
      </c>
      <c r="F85" s="5">
        <f>'BOM_(신조) HiNAS SVM'!I20</f>
        <v>5</v>
      </c>
      <c r="G85" s="4" t="str">
        <f>'BOM_(신조) HiNAS SVM'!M20</f>
        <v>MRC</v>
      </c>
      <c r="H85" s="4" t="str">
        <f>'BOM_(신조) HiNAS SVM'!O20</f>
        <v>명판 포함</v>
      </c>
    </row>
    <row r="86" spans="1:8" x14ac:dyDescent="0.45">
      <c r="A86" s="107"/>
      <c r="B86" s="107"/>
      <c r="C86" s="3" t="str">
        <f>'BOM_(신조) HiNAS SVM'!B21</f>
        <v>SB0008</v>
      </c>
      <c r="D86" s="4" t="str">
        <f>'BOM_(신조) HiNAS SVM'!C21</f>
        <v>LRP</v>
      </c>
      <c r="E86" s="4" t="str">
        <f>'BOM_(신조) HiNAS SVM'!E21</f>
        <v>LAN 통신 거리 연장 및 전원공급</v>
      </c>
      <c r="F86" s="5">
        <f>'BOM_(신조) HiNAS SVM'!I21</f>
        <v>5</v>
      </c>
      <c r="G86" s="4" t="str">
        <f>'BOM_(신조) HiNAS SVM'!M21</f>
        <v>제씨테크</v>
      </c>
      <c r="H86" s="4" t="str">
        <f>'BOM_(신조) HiNAS SVM'!O21</f>
        <v>w. SMPS</v>
      </c>
    </row>
    <row r="87" spans="1:8" x14ac:dyDescent="0.45">
      <c r="A87" s="107"/>
      <c r="B87" s="107"/>
      <c r="C87" s="3" t="str">
        <f>'BOM_(신조) HiNAS SVM'!B22</f>
        <v>SB0015</v>
      </c>
      <c r="D87" s="4" t="str">
        <f>'BOM_(신조) HiNAS SVM'!C22</f>
        <v>UNO-PS-1AC-48DC-60W</v>
      </c>
      <c r="E87" s="4" t="str">
        <f>'BOM_(신조) HiNAS SVM'!E22</f>
        <v>LRP용 60W 파워 서플라이</v>
      </c>
      <c r="F87" s="5">
        <f>'BOM_(신조) HiNAS SVM'!I22</f>
        <v>6</v>
      </c>
      <c r="G87" s="4" t="str">
        <f>'BOM_(신조) HiNAS SVM'!M22</f>
        <v>세종전자</v>
      </c>
      <c r="H87" s="4" t="str">
        <f>'BOM_(신조) HiNAS SVM'!O22</f>
        <v xml:space="preserve"> - </v>
      </c>
    </row>
    <row r="88" spans="1:8" x14ac:dyDescent="0.45">
      <c r="A88" s="107"/>
      <c r="B88" s="107"/>
      <c r="C88" s="3" t="str">
        <f>'BOM_(신조) HiNAS SVM'!B23</f>
        <v>SZ0021</v>
      </c>
      <c r="D88" s="4" t="str">
        <f>'BOM_(신조) HiNAS SVM'!C23</f>
        <v>24V SMPS</v>
      </c>
      <c r="E88" s="4" t="str">
        <f>'BOM_(신조) HiNAS SVM'!E23</f>
        <v>Network Switch, Serial to Ethernet용</v>
      </c>
      <c r="F88" s="5">
        <f>'BOM_(신조) HiNAS SVM'!I23</f>
        <v>1</v>
      </c>
      <c r="G88" s="4" t="str">
        <f>'BOM_(신조) HiNAS SVM'!M23</f>
        <v>쿠팡</v>
      </c>
      <c r="H88" s="4" t="str">
        <f>'BOM_(신조) HiNAS SVM'!O23</f>
        <v xml:space="preserve"> - </v>
      </c>
    </row>
    <row r="89" spans="1:8" x14ac:dyDescent="0.45">
      <c r="A89" s="107"/>
      <c r="B89" s="107"/>
      <c r="C89" s="3" t="str">
        <f>'BOM_(신조) HiNAS SVM'!B24</f>
        <v>SE0003</v>
      </c>
      <c r="D89" s="4" t="str">
        <f>'BOM_(신조) HiNAS SVM'!C24</f>
        <v>UPS</v>
      </c>
      <c r="E89" s="4" t="str">
        <f>'BOM_(신조) HiNAS SVM'!E24</f>
        <v>1kVA, 무정전 전원 공급, Stand type</v>
      </c>
      <c r="F89" s="5">
        <f>'BOM_(신조) HiNAS SVM'!I24</f>
        <v>1</v>
      </c>
      <c r="G89" s="4" t="str">
        <f>'BOM_(신조) HiNAS SVM'!M24</f>
        <v>기호티이에스</v>
      </c>
      <c r="H89" s="4" t="str">
        <f>'BOM_(신조) HiNAS SVM'!O24</f>
        <v>마린필터, network card, 케이블 포함</v>
      </c>
    </row>
    <row r="90" spans="1:8" x14ac:dyDescent="0.45">
      <c r="A90" s="107"/>
      <c r="B90" s="107"/>
      <c r="C90" s="3" t="str">
        <f>'BOM_(신조) HiNAS SVM'!B25</f>
        <v>SZ0019</v>
      </c>
      <c r="D90" s="4" t="str">
        <f>'BOM_(신조) HiNAS SVM'!C25</f>
        <v>멀티탭</v>
      </c>
      <c r="E90" s="4" t="str">
        <f>'BOM_(신조) HiNAS SVM'!E25</f>
        <v>UPS용</v>
      </c>
      <c r="F90" s="5">
        <f>'BOM_(신조) HiNAS SVM'!I25</f>
        <v>2</v>
      </c>
      <c r="G90" s="4" t="str">
        <f>'BOM_(신조) HiNAS SVM'!M25</f>
        <v>쿠팡</v>
      </c>
      <c r="H90" s="4" t="str">
        <f>'BOM_(신조) HiNAS SVM'!O25</f>
        <v xml:space="preserve"> - </v>
      </c>
    </row>
    <row r="91" spans="1:8" x14ac:dyDescent="0.45">
      <c r="A91" s="107"/>
      <c r="B91" s="107"/>
      <c r="C91" s="3" t="str">
        <f>'BOM_(신조) HiNAS SVM'!B26</f>
        <v>SZ0020</v>
      </c>
      <c r="D91" s="4" t="str">
        <f>'BOM_(신조) HiNAS SVM'!C26</f>
        <v>C13-C14(MALE)</v>
      </c>
      <c r="E91" s="4" t="str">
        <f>'BOM_(신조) HiNAS SVM'!E26</f>
        <v>UPS용</v>
      </c>
      <c r="F91" s="5">
        <f>'BOM_(신조) HiNAS SVM'!I26</f>
        <v>3</v>
      </c>
      <c r="G91" s="4" t="str">
        <f>'BOM_(신조) HiNAS SVM'!M26</f>
        <v>한주전자</v>
      </c>
      <c r="H91" s="4" t="str">
        <f>'BOM_(신조) HiNAS SVM'!O26</f>
        <v xml:space="preserve"> - </v>
      </c>
    </row>
    <row r="92" spans="1:8" x14ac:dyDescent="0.45">
      <c r="A92" s="105" t="s">
        <v>37</v>
      </c>
      <c r="B92" s="105" t="s">
        <v>562</v>
      </c>
      <c r="C92" s="14" t="str">
        <f>'BOM_(개조) HiNAS Con SVM'!B11</f>
        <v>SM0001</v>
      </c>
      <c r="D92" s="4" t="str">
        <f>'BOM_(개조) HiNAS Con SVM'!C11</f>
        <v>Monitor</v>
      </c>
      <c r="E92" s="4" t="str">
        <f>'BOM_(개조) HiNAS Con SVM'!E11</f>
        <v>27인치 모니터</v>
      </c>
      <c r="F92" s="5">
        <f>'BOM_(개조) HiNAS Con SVM'!I11</f>
        <v>2</v>
      </c>
      <c r="G92" s="4" t="str">
        <f>'BOM_(개조) HiNAS Con SVM'!M11</f>
        <v>MRC/테트라다인</v>
      </c>
      <c r="H92" s="4" t="str">
        <f>'BOM_(개조) HiNAS Con SVM'!O11</f>
        <v>RCU, RCU cable, RS485 cable, bracket 포함</v>
      </c>
    </row>
    <row r="93" spans="1:8" x14ac:dyDescent="0.45">
      <c r="A93" s="105"/>
      <c r="B93" s="105"/>
      <c r="C93" s="14" t="str">
        <f>'BOM_(개조) HiNAS Con SVM'!B12</f>
        <v>SS0001</v>
      </c>
      <c r="D93" s="4" t="str">
        <f>'BOM_(개조) HiNAS Con SVM'!C12</f>
        <v>Server</v>
      </c>
      <c r="E93" s="4" t="str">
        <f>'BOM_(개조) HiNAS Con SVM'!E12</f>
        <v>메인 서버</v>
      </c>
      <c r="F93" s="5">
        <f>'BOM_(개조) HiNAS Con SVM'!I12</f>
        <v>3</v>
      </c>
      <c r="G93" s="4" t="str">
        <f>'BOM_(개조) HiNAS Con SVM'!M12</f>
        <v>테트라다인</v>
      </c>
      <c r="H93" s="4" t="str">
        <f>'BOM_(개조) HiNAS Con SVM'!O12</f>
        <v xml:space="preserve"> - </v>
      </c>
    </row>
    <row r="94" spans="1:8" x14ac:dyDescent="0.45">
      <c r="A94" s="105"/>
      <c r="B94" s="105"/>
      <c r="C94" s="14" t="str">
        <f>'BOM_(개조) HiNAS Con SVM'!B13</f>
        <v>SC0006</v>
      </c>
      <c r="D94" s="4" t="str">
        <f>'BOM_(개조) HiNAS Con SVM'!C13</f>
        <v>IP camera</v>
      </c>
      <c r="E94" s="4" t="str">
        <f>'BOM_(개조) HiNAS Con SVM'!E13</f>
        <v>카메라</v>
      </c>
      <c r="F94" s="5">
        <f>'BOM_(개조) HiNAS Con SVM'!I13</f>
        <v>6</v>
      </c>
      <c r="G94" s="4" t="str">
        <f>'BOM_(개조) HiNAS Con SVM'!M13</f>
        <v>아르게스마린</v>
      </c>
      <c r="H94" s="4" t="str">
        <f>'BOM_(개조) HiNAS Con SVM'!O13</f>
        <v xml:space="preserve"> - </v>
      </c>
    </row>
    <row r="95" spans="1:8" x14ac:dyDescent="0.45">
      <c r="A95" s="105"/>
      <c r="B95" s="105"/>
      <c r="C95" s="14" t="str">
        <f>'BOM_(개조) HiNAS Con SVM'!B14</f>
        <v>SB0002</v>
      </c>
      <c r="D95" s="4" t="str">
        <f>'BOM_(개조) HiNAS Con SVM'!C14</f>
        <v>Network switch</v>
      </c>
      <c r="E95" s="4" t="str">
        <f>'BOM_(개조) HiNAS Con SVM'!E14</f>
        <v>허브 (선급인증품)</v>
      </c>
      <c r="F95" s="5">
        <f>'BOM_(개조) HiNAS Con SVM'!I14</f>
        <v>3</v>
      </c>
      <c r="G95" s="4" t="str">
        <f>'BOM_(개조) HiNAS Con SVM'!M14</f>
        <v>여의시스템</v>
      </c>
      <c r="H95" s="4" t="str">
        <f>'BOM_(개조) HiNAS Con SVM'!O14</f>
        <v xml:space="preserve"> - </v>
      </c>
    </row>
    <row r="96" spans="1:8" x14ac:dyDescent="0.45">
      <c r="A96" s="105"/>
      <c r="B96" s="105"/>
      <c r="C96" s="14" t="str">
        <f>'BOM_(개조) HiNAS Con SVM'!B15</f>
        <v>SB0007</v>
      </c>
      <c r="D96" s="4" t="str">
        <f>'BOM_(개조) HiNAS Con SVM'!C15</f>
        <v>PoE HUB</v>
      </c>
      <c r="E96" s="4" t="str">
        <f>'BOM_(개조) HiNAS Con SVM'!E15</f>
        <v>IP 카메라에 전원 공급</v>
      </c>
      <c r="F96" s="5">
        <f>'BOM_(개조) HiNAS Con SVM'!I15</f>
        <v>2</v>
      </c>
      <c r="G96" s="4" t="str">
        <f>'BOM_(개조) HiNAS Con SVM'!M15</f>
        <v>제씨테크</v>
      </c>
      <c r="H96" s="4" t="str">
        <f>'BOM_(개조) HiNAS Con SVM'!O15</f>
        <v>w. SMPS</v>
      </c>
    </row>
    <row r="97" spans="1:8" x14ac:dyDescent="0.45">
      <c r="A97" s="105"/>
      <c r="B97" s="105"/>
      <c r="C97" s="14" t="str">
        <f>'BOM_(개조) HiNAS Con SVM'!B16</f>
        <v>SB0008</v>
      </c>
      <c r="D97" s="4" t="str">
        <f>'BOM_(개조) HiNAS Con SVM'!C16</f>
        <v>LRP</v>
      </c>
      <c r="E97" s="4" t="str">
        <f>'BOM_(개조) HiNAS Con SVM'!E16</f>
        <v>LAN 통신 거리 연장 및 전원공급</v>
      </c>
      <c r="F97" s="5">
        <f>'BOM_(개조) HiNAS Con SVM'!I16</f>
        <v>6</v>
      </c>
      <c r="G97" s="4" t="str">
        <f>'BOM_(개조) HiNAS Con SVM'!M16</f>
        <v>제씨테크</v>
      </c>
      <c r="H97" s="4" t="str">
        <f>'BOM_(개조) HiNAS Con SVM'!O16</f>
        <v>w. SMPS</v>
      </c>
    </row>
    <row r="98" spans="1:8" x14ac:dyDescent="0.45">
      <c r="A98" s="105"/>
      <c r="B98" s="105"/>
      <c r="C98" s="14" t="str">
        <f>'BOM_(개조) HiNAS Con SVM'!B17</f>
        <v>SZ0001</v>
      </c>
      <c r="D98" s="4" t="str">
        <f>'BOM_(개조) HiNAS Con SVM'!C17</f>
        <v>Junction Box</v>
      </c>
      <c r="E98" s="4" t="str">
        <f>'BOM_(개조) HiNAS Con SVM'!E17</f>
        <v>PoE Hub 용</v>
      </c>
      <c r="F98" s="5">
        <f>'BOM_(개조) HiNAS Con SVM'!I17</f>
        <v>2</v>
      </c>
      <c r="G98" s="4" t="str">
        <f>'BOM_(개조) HiNAS Con SVM'!M17</f>
        <v>MRC</v>
      </c>
      <c r="H98" s="4" t="str">
        <f>'BOM_(개조) HiNAS Con SVM'!O17</f>
        <v>명판 포함</v>
      </c>
    </row>
    <row r="99" spans="1:8" x14ac:dyDescent="0.45">
      <c r="A99" s="105"/>
      <c r="B99" s="105"/>
      <c r="C99" s="14" t="str">
        <f>'BOM_(개조) HiNAS Con SVM'!B18</f>
        <v>SZ0002</v>
      </c>
      <c r="D99" s="4" t="str">
        <f>'BOM_(개조) HiNAS Con SVM'!C18</f>
        <v>Junction Box</v>
      </c>
      <c r="E99" s="4" t="str">
        <f>'BOM_(개조) HiNAS Con SVM'!E18</f>
        <v>LRP Injector용</v>
      </c>
      <c r="F99" s="5">
        <f>'BOM_(개조) HiNAS Con SVM'!I18</f>
        <v>10</v>
      </c>
      <c r="G99" s="4" t="str">
        <f>'BOM_(개조) HiNAS Con SVM'!M18</f>
        <v>MRC</v>
      </c>
      <c r="H99" s="4" t="str">
        <f>'BOM_(개조) HiNAS Con SVM'!O18</f>
        <v>명판 포함</v>
      </c>
    </row>
    <row r="100" spans="1:8" x14ac:dyDescent="0.45">
      <c r="A100" s="105"/>
      <c r="B100" s="105"/>
      <c r="C100" s="14" t="str">
        <f>'BOM_(개조) HiNAS Con SVM'!B19</f>
        <v>SZ0003</v>
      </c>
      <c r="D100" s="4" t="str">
        <f>'BOM_(개조) HiNAS Con SVM'!C19</f>
        <v>Junction Box</v>
      </c>
      <c r="E100" s="4" t="str">
        <f>'BOM_(개조) HiNAS Con SVM'!E19</f>
        <v>방폭형, LRP Extender용</v>
      </c>
      <c r="F100" s="5">
        <f>'BOM_(개조) HiNAS Con SVM'!I19</f>
        <v>2</v>
      </c>
      <c r="G100" s="4" t="str">
        <f>'BOM_(개조) HiNAS Con SVM'!M19</f>
        <v>MRC</v>
      </c>
      <c r="H100" s="4" t="str">
        <f>'BOM_(개조) HiNAS Con SVM'!O19</f>
        <v>-</v>
      </c>
    </row>
    <row r="101" spans="1:8" x14ac:dyDescent="0.45">
      <c r="A101" s="105"/>
      <c r="B101" s="105"/>
      <c r="C101" s="14" t="str">
        <f>'BOM_(개조) HiNAS Con SVM'!B20</f>
        <v>SB0022</v>
      </c>
      <c r="D101" s="4" t="str">
        <f>'BOM_(개조) HiNAS Con SVM'!C20</f>
        <v>Network PoE Switch</v>
      </c>
      <c r="E101" s="4" t="str">
        <f>'BOM_(개조) HiNAS Con SVM'!E20</f>
        <v>IP 카메라에 전원 공급</v>
      </c>
      <c r="F101" s="5">
        <f>'BOM_(개조) HiNAS Con SVM'!I20</f>
        <v>1</v>
      </c>
      <c r="G101" s="4" t="str">
        <f>'BOM_(개조) HiNAS Con SVM'!M20</f>
        <v>여의시스템</v>
      </c>
      <c r="H101" s="4" t="str">
        <f>'BOM_(개조) HiNAS Con SVM'!O20</f>
        <v xml:space="preserve"> - </v>
      </c>
    </row>
    <row r="102" spans="1:8" x14ac:dyDescent="0.45">
      <c r="A102" s="105"/>
      <c r="B102" s="105"/>
      <c r="C102" s="14" t="str">
        <f>'BOM_(개조) HiNAS Con SVM'!B21</f>
        <v>SB0006</v>
      </c>
      <c r="D102" s="4" t="str">
        <f>'BOM_(개조) HiNAS Con SVM'!C21</f>
        <v>Serial to Ethernet</v>
      </c>
      <c r="E102" s="4" t="str">
        <f>'BOM_(개조) HiNAS Con SVM'!E21</f>
        <v>시리얼 통신을 LAN으로 변환</v>
      </c>
      <c r="F102" s="5">
        <f>'BOM_(개조) HiNAS Con SVM'!I21</f>
        <v>1</v>
      </c>
      <c r="G102" s="4" t="str">
        <f>'BOM_(개조) HiNAS Con SVM'!M21</f>
        <v>여의시스템</v>
      </c>
      <c r="H102" s="4" t="str">
        <f>'BOM_(개조) HiNAS Con SVM'!O21</f>
        <v xml:space="preserve"> - </v>
      </c>
    </row>
    <row r="103" spans="1:8" x14ac:dyDescent="0.45">
      <c r="A103" s="105"/>
      <c r="B103" s="105"/>
      <c r="C103" s="14" t="str">
        <f>'BOM_(개조) HiNAS Con SVM'!B22</f>
        <v>SZ0005</v>
      </c>
      <c r="D103" s="4" t="str">
        <f>'BOM_(개조) HiNAS Con SVM'!C22</f>
        <v>keyboard &amp; mouse</v>
      </c>
      <c r="E103" s="4" t="str">
        <f>'BOM_(개조) HiNAS Con SVM'!E22</f>
        <v>입력기기</v>
      </c>
      <c r="F103" s="5">
        <f>'BOM_(개조) HiNAS Con SVM'!I22</f>
        <v>2</v>
      </c>
      <c r="G103" s="4" t="str">
        <f>'BOM_(개조) HiNAS Con SVM'!M22</f>
        <v>MRC</v>
      </c>
      <c r="H103" s="4" t="str">
        <f>'BOM_(개조) HiNAS Con SVM'!O22</f>
        <v xml:space="preserve"> - </v>
      </c>
    </row>
    <row r="104" spans="1:8" x14ac:dyDescent="0.45">
      <c r="A104" s="105"/>
      <c r="B104" s="105"/>
      <c r="C104" s="14" t="str">
        <f>'BOM_(개조) HiNAS Con SVM'!B23</f>
        <v>SC0004</v>
      </c>
      <c r="D104" s="4" t="str">
        <f>'BOM_(개조) HiNAS Con SVM'!C23</f>
        <v>NAS camera housing</v>
      </c>
      <c r="E104" s="4" t="str">
        <f>'BOM_(개조) HiNAS Con SVM'!E23</f>
        <v>하우징</v>
      </c>
      <c r="F104" s="5">
        <f>'BOM_(개조) HiNAS Con SVM'!I23</f>
        <v>1</v>
      </c>
      <c r="G104" s="4" t="str">
        <f>'BOM_(개조) HiNAS Con SVM'!M23</f>
        <v>MRC</v>
      </c>
      <c r="H104" s="4" t="str">
        <f>'BOM_(개조) HiNAS Con SVM'!O23</f>
        <v xml:space="preserve"> - </v>
      </c>
    </row>
    <row r="105" spans="1:8" x14ac:dyDescent="0.45">
      <c r="A105" s="105"/>
      <c r="B105" s="105"/>
      <c r="C105" s="14" t="str">
        <f>'BOM_(개조) HiNAS Con SVM'!B24</f>
        <v>SC0010</v>
      </c>
      <c r="D105" s="4" t="str">
        <f>'BOM_(개조) HiNAS Con SVM'!C24</f>
        <v>EO Camera</v>
      </c>
      <c r="E105" s="4" t="str">
        <f>'BOM_(개조) HiNAS Con SVM'!E24</f>
        <v>광학 카메라(4K)</v>
      </c>
      <c r="F105" s="5">
        <f>'BOM_(개조) HiNAS Con SVM'!I24</f>
        <v>3</v>
      </c>
      <c r="G105" s="4" t="str">
        <f>'BOM_(개조) HiNAS Con SVM'!M24</f>
        <v>사이더스/e-con</v>
      </c>
      <c r="H105" s="4" t="str">
        <f>'BOM_(개조) HiNAS Con SVM'!O24</f>
        <v>w. GMSL cable</v>
      </c>
    </row>
    <row r="106" spans="1:8" x14ac:dyDescent="0.45">
      <c r="A106" s="105"/>
      <c r="B106" s="105"/>
      <c r="C106" s="14" t="str">
        <f>'BOM_(개조) HiNAS Con SVM'!B25</f>
        <v>SC0002</v>
      </c>
      <c r="D106" s="4" t="str">
        <f>'BOM_(개조) HiNAS Con SVM'!C25</f>
        <v>IR camera</v>
      </c>
      <c r="E106" s="4" t="str">
        <f>'BOM_(개조) HiNAS Con SVM'!E25</f>
        <v>열화상 카메라</v>
      </c>
      <c r="F106" s="5">
        <f>'BOM_(개조) HiNAS Con SVM'!I25</f>
        <v>3</v>
      </c>
      <c r="G106" s="4" t="str">
        <f>'BOM_(개조) HiNAS Con SVM'!M25</f>
        <v>IRKEN/FLIR</v>
      </c>
      <c r="H106" s="4" t="str">
        <f>'BOM_(개조) HiNAS Con SVM'!O25</f>
        <v>w. VPC KIT</v>
      </c>
    </row>
    <row r="107" spans="1:8" x14ac:dyDescent="0.45">
      <c r="A107" s="105"/>
      <c r="B107" s="105"/>
      <c r="C107" s="14" t="str">
        <f>'BOM_(개조) HiNAS Con SVM'!B26</f>
        <v>SC0003</v>
      </c>
      <c r="D107" s="4" t="str">
        <f>'BOM_(개조) HiNAS Con SVM'!C26</f>
        <v>IR camera window</v>
      </c>
      <c r="E107" s="4" t="str">
        <f>'BOM_(개조) HiNAS Con SVM'!E26</f>
        <v>열화상 카메라 윈도우</v>
      </c>
      <c r="F107" s="5">
        <f>'BOM_(개조) HiNAS Con SVM'!I26</f>
        <v>3</v>
      </c>
      <c r="G107" s="4" t="str">
        <f>'BOM_(개조) HiNAS Con SVM'!M26</f>
        <v>센서캠</v>
      </c>
      <c r="H107" s="4" t="str">
        <f>'BOM_(개조) HiNAS Con SVM'!O26</f>
        <v>1세대 용 (직경 42mm)</v>
      </c>
    </row>
    <row r="108" spans="1:8" x14ac:dyDescent="0.45">
      <c r="A108" s="105"/>
      <c r="B108" s="105"/>
      <c r="C108" s="14" t="str">
        <f>'BOM_(개조) HiNAS Con SVM'!B27</f>
        <v>SC0005</v>
      </c>
      <c r="D108" s="4" t="str">
        <f>'BOM_(개조) HiNAS Con SVM'!C27</f>
        <v>NAS junction box</v>
      </c>
      <c r="E108" s="4" t="str">
        <f>'BOM_(개조) HiNAS Con SVM'!E27</f>
        <v>정션박스</v>
      </c>
      <c r="F108" s="5">
        <f>'BOM_(개조) HiNAS Con SVM'!I27</f>
        <v>1</v>
      </c>
      <c r="G108" s="4" t="str">
        <f>'BOM_(개조) HiNAS Con SVM'!M27</f>
        <v>MRC</v>
      </c>
      <c r="H108" s="4" t="str">
        <f>'BOM_(개조) HiNAS Con SVM'!O27</f>
        <v xml:space="preserve"> - </v>
      </c>
    </row>
    <row r="109" spans="1:8" x14ac:dyDescent="0.45">
      <c r="A109" s="105"/>
      <c r="B109" s="105"/>
      <c r="C109" s="14" t="str">
        <f>'BOM_(개조) HiNAS Con SVM'!B28</f>
        <v>SS0003</v>
      </c>
      <c r="D109" s="4" t="str">
        <f>'BOM_(개조) HiNAS Con SVM'!C28</f>
        <v>Single Board Computer</v>
      </c>
      <c r="E109" s="4" t="str">
        <f>'BOM_(개조) HiNAS Con SVM'!E28</f>
        <v>카메라와 서버 연동</v>
      </c>
      <c r="F109" s="5">
        <f>'BOM_(개조) HiNAS Con SVM'!I28</f>
        <v>2</v>
      </c>
      <c r="G109" s="4" t="str">
        <f>'BOM_(개조) HiNAS Con SVM'!M28</f>
        <v>사이더스/e-con</v>
      </c>
      <c r="H109" s="4" t="str">
        <f>'BOM_(개조) HiNAS Con SVM'!O28</f>
        <v xml:space="preserve"> - </v>
      </c>
    </row>
    <row r="110" spans="1:8" x14ac:dyDescent="0.45">
      <c r="A110" s="105"/>
      <c r="B110" s="105"/>
      <c r="C110" s="14" t="str">
        <f>'BOM_(개조) HiNAS Con SVM'!B29</f>
        <v>SZ0012</v>
      </c>
      <c r="D110" s="4" t="str">
        <f>'BOM_(개조) HiNAS Con SVM'!C29</f>
        <v>SMPS</v>
      </c>
      <c r="E110" s="4" t="str">
        <f>'BOM_(개조) HiNAS Con SVM'!E29</f>
        <v>Single Board Computer  전원 공급</v>
      </c>
      <c r="F110" s="5">
        <f>'BOM_(개조) HiNAS Con SVM'!I29</f>
        <v>6</v>
      </c>
      <c r="G110" s="4" t="str">
        <f>'BOM_(개조) HiNAS Con SVM'!M29</f>
        <v>파워캅</v>
      </c>
      <c r="H110" s="4" t="str">
        <f>'BOM_(개조) HiNAS Con SVM'!O29</f>
        <v xml:space="preserve"> - </v>
      </c>
    </row>
    <row r="111" spans="1:8" x14ac:dyDescent="0.45">
      <c r="A111" s="105"/>
      <c r="B111" s="105"/>
      <c r="C111" s="14" t="str">
        <f>'BOM_(개조) HiNAS Con SVM'!B30</f>
        <v>SZ0014</v>
      </c>
      <c r="D111" s="4" t="str">
        <f>'BOM_(개조) HiNAS Con SVM'!C30</f>
        <v>EMI/EMC filter</v>
      </c>
      <c r="E111" s="4" t="str">
        <f>'BOM_(개조) HiNAS Con SVM'!E30</f>
        <v>정션박스 전자파 차폐용</v>
      </c>
      <c r="F111" s="5">
        <f>'BOM_(개조) HiNAS Con SVM'!I30</f>
        <v>7</v>
      </c>
      <c r="G111" s="4" t="str">
        <f>'BOM_(개조) HiNAS Con SVM'!M30</f>
        <v>오키</v>
      </c>
      <c r="H111" s="4" t="str">
        <f>'BOM_(개조) HiNAS Con SVM'!O30</f>
        <v xml:space="preserve"> - </v>
      </c>
    </row>
    <row r="112" spans="1:8" x14ac:dyDescent="0.45">
      <c r="A112" s="105"/>
      <c r="B112" s="105"/>
      <c r="C112" s="14" t="str">
        <f>'BOM_(개조) HiNAS Con SVM'!B31</f>
        <v>SE0003</v>
      </c>
      <c r="D112" s="4" t="str">
        <f>'BOM_(개조) HiNAS Con SVM'!C31</f>
        <v>UPS</v>
      </c>
      <c r="E112" s="4" t="str">
        <f>'BOM_(개조) HiNAS Con SVM'!E31</f>
        <v>1kVA, 무정전 전원 공급, Stand type</v>
      </c>
      <c r="F112" s="5">
        <f>'BOM_(개조) HiNAS Con SVM'!I31</f>
        <v>1</v>
      </c>
      <c r="G112" s="4" t="str">
        <f>'BOM_(개조) HiNAS Con SVM'!M31</f>
        <v>기호티이에스</v>
      </c>
      <c r="H112" s="4" t="str">
        <f>'BOM_(개조) HiNAS Con SVM'!O31</f>
        <v>마린필터, network card, 케이블 포함</v>
      </c>
    </row>
    <row r="113" spans="1:8" x14ac:dyDescent="0.45">
      <c r="A113" s="105"/>
      <c r="B113" s="105"/>
      <c r="C113" s="14" t="str">
        <f>'BOM_(개조) HiNAS Con SVM'!B32</f>
        <v>SZ0019</v>
      </c>
      <c r="D113" s="4" t="str">
        <f>'BOM_(개조) HiNAS Con SVM'!C32</f>
        <v>멀티탭</v>
      </c>
      <c r="E113" s="4" t="str">
        <f>'BOM_(개조) HiNAS Con SVM'!E32</f>
        <v>UPS용</v>
      </c>
      <c r="F113" s="5">
        <f>'BOM_(개조) HiNAS Con SVM'!I32</f>
        <v>4</v>
      </c>
      <c r="G113" s="4" t="str">
        <f>'BOM_(개조) HiNAS Con SVM'!M32</f>
        <v>쿠팡</v>
      </c>
      <c r="H113" s="4" t="str">
        <f>'BOM_(개조) HiNAS Con SVM'!O32</f>
        <v xml:space="preserve"> - </v>
      </c>
    </row>
    <row r="114" spans="1:8" x14ac:dyDescent="0.45">
      <c r="A114" s="105"/>
      <c r="B114" s="105"/>
      <c r="C114" s="14" t="str">
        <f>'BOM_(개조) HiNAS Con SVM'!B33</f>
        <v>SZ0020</v>
      </c>
      <c r="D114" s="4" t="str">
        <f>'BOM_(개조) HiNAS Con SVM'!C33</f>
        <v>C13-C14(MALE)</v>
      </c>
      <c r="E114" s="4" t="str">
        <f>'BOM_(개조) HiNAS Con SVM'!E33</f>
        <v>UPS용</v>
      </c>
      <c r="F114" s="5">
        <f>'BOM_(개조) HiNAS Con SVM'!I33</f>
        <v>5</v>
      </c>
      <c r="G114" s="4" t="str">
        <f>'BOM_(개조) HiNAS Con SVM'!M33</f>
        <v>한주전자</v>
      </c>
      <c r="H114" s="4" t="str">
        <f>'BOM_(개조) HiNAS Con SVM'!O33</f>
        <v xml:space="preserve"> - </v>
      </c>
    </row>
    <row r="115" spans="1:8" x14ac:dyDescent="0.45">
      <c r="A115" s="105"/>
      <c r="B115" s="105"/>
      <c r="C115" s="14" t="str">
        <f>'BOM_(개조) HiNAS Con SVM'!B34</f>
        <v>SB0011</v>
      </c>
      <c r="D115" s="4" t="str">
        <f>'BOM_(개조) HiNAS Con SVM'!C34</f>
        <v>Selector Switch</v>
      </c>
      <c r="E115" s="4" t="str">
        <f>'BOM_(개조) HiNAS Con SVM'!E34</f>
        <v>HiNAS control 선택 스위치</v>
      </c>
      <c r="F115" s="5">
        <f>'BOM_(개조) HiNAS Con SVM'!I34</f>
        <v>1</v>
      </c>
      <c r="G115" s="4" t="str">
        <f>'BOM_(개조) HiNAS Con SVM'!M34</f>
        <v>MRC/YDK</v>
      </c>
      <c r="H115" s="4" t="str">
        <f>'BOM_(개조) HiNAS Con SVM'!O34</f>
        <v>YOKOGAWA (w. DIMMER BOX)</v>
      </c>
    </row>
    <row r="116" spans="1:8" x14ac:dyDescent="0.45">
      <c r="A116" s="105"/>
      <c r="B116" s="105"/>
      <c r="C116" s="14" t="str">
        <f>'BOM_(개조) HiNAS Con SVM'!B35</f>
        <v>SZ0004</v>
      </c>
      <c r="D116" s="4" t="str">
        <f>'BOM_(개조) HiNAS Con SVM'!C35</f>
        <v>AP</v>
      </c>
      <c r="E116" s="4" t="str">
        <f>'BOM_(개조) HiNAS Con SVM'!E35</f>
        <v>무선 공유기</v>
      </c>
      <c r="F116" s="5">
        <f>'BOM_(개조) HiNAS Con SVM'!I35</f>
        <v>2</v>
      </c>
      <c r="G116" s="4" t="str">
        <f>'BOM_(개조) HiNAS Con SVM'!M35</f>
        <v>쿠팡</v>
      </c>
      <c r="H116" s="4" t="str">
        <f>'BOM_(개조) HiNAS Con SVM'!O35</f>
        <v xml:space="preserve"> - </v>
      </c>
    </row>
    <row r="117" spans="1:8" x14ac:dyDescent="0.45">
      <c r="A117" s="105"/>
      <c r="B117" s="105"/>
      <c r="C117" s="14" t="str">
        <f>'BOM_(개조) HiNAS Con SVM'!B36</f>
        <v>SM0005</v>
      </c>
      <c r="D117" s="4" t="str">
        <f>'BOM_(개조) HiNAS Con SVM'!C36</f>
        <v>Tablet PC</v>
      </c>
      <c r="E117" s="4" t="str">
        <f>'BOM_(개조) HiNAS Con SVM'!E36</f>
        <v>Portable 모니터</v>
      </c>
      <c r="F117" s="5">
        <f>'BOM_(개조) HiNAS Con SVM'!I36</f>
        <v>2</v>
      </c>
      <c r="G117" s="4" t="str">
        <f>'BOM_(개조) HiNAS Con SVM'!M36</f>
        <v>컴퓨존</v>
      </c>
      <c r="H117" s="4" t="str">
        <f>'BOM_(개조) HiNAS Con SVM'!O36</f>
        <v>COVER CASE, POWER ADAPTER 포함</v>
      </c>
    </row>
    <row r="118" spans="1:8" x14ac:dyDescent="0.45">
      <c r="A118" s="106" t="s">
        <v>37</v>
      </c>
      <c r="B118" s="106" t="s">
        <v>35</v>
      </c>
      <c r="C118" s="15" t="str">
        <f>'BOM_(개조) HiNAS Control'!B11</f>
        <v>SM0001</v>
      </c>
      <c r="D118" s="4" t="str">
        <f>'BOM_(개조) HiNAS Control'!C11</f>
        <v>Monitor</v>
      </c>
      <c r="E118" s="4" t="str">
        <f>'BOM_(개조) HiNAS Control'!E11</f>
        <v>27인치 모니터</v>
      </c>
      <c r="F118" s="5">
        <f>'BOM_(개조) HiNAS Control'!I11</f>
        <v>1</v>
      </c>
      <c r="G118" s="4" t="str">
        <f>'BOM_(개조) HiNAS Control'!M11</f>
        <v>MRC/테트라다인</v>
      </c>
      <c r="H118" s="4" t="str">
        <f>'BOM_(개조) HiNAS Control'!O11</f>
        <v>RCU, RCU cable, RS485 cable, bracket 포함</v>
      </c>
    </row>
    <row r="119" spans="1:8" x14ac:dyDescent="0.45">
      <c r="A119" s="106"/>
      <c r="B119" s="106"/>
      <c r="C119" s="15" t="str">
        <f>'BOM_(개조) HiNAS Control'!B12</f>
        <v>SS0001</v>
      </c>
      <c r="D119" s="4" t="str">
        <f>'BOM_(개조) HiNAS Control'!C12</f>
        <v>Server</v>
      </c>
      <c r="E119" s="4" t="str">
        <f>'BOM_(개조) HiNAS Control'!E12</f>
        <v>메인 서버</v>
      </c>
      <c r="F119" s="5">
        <f>'BOM_(개조) HiNAS Control'!I12</f>
        <v>2</v>
      </c>
      <c r="G119" s="4" t="str">
        <f>'BOM_(개조) HiNAS Control'!M12</f>
        <v>테트라다인</v>
      </c>
      <c r="H119" s="4" t="str">
        <f>'BOM_(개조) HiNAS Control'!O12</f>
        <v xml:space="preserve"> - </v>
      </c>
    </row>
    <row r="120" spans="1:8" x14ac:dyDescent="0.45">
      <c r="A120" s="106"/>
      <c r="B120" s="106"/>
      <c r="C120" s="15" t="str">
        <f>'BOM_(개조) HiNAS Control'!B13</f>
        <v>SS0003</v>
      </c>
      <c r="D120" s="4" t="str">
        <f>'BOM_(개조) HiNAS Control'!C13</f>
        <v>Single Board Computer</v>
      </c>
      <c r="E120" s="4" t="str">
        <f>'BOM_(개조) HiNAS Control'!E13</f>
        <v>카메라와 서버 연동</v>
      </c>
      <c r="F120" s="5">
        <f>'BOM_(개조) HiNAS Control'!I13</f>
        <v>1</v>
      </c>
      <c r="G120" s="4" t="str">
        <f>'BOM_(개조) HiNAS Control'!M13</f>
        <v>사이더스/e-con</v>
      </c>
      <c r="H120" s="4" t="str">
        <f>'BOM_(개조) HiNAS Control'!O13</f>
        <v xml:space="preserve"> - </v>
      </c>
    </row>
    <row r="121" spans="1:8" x14ac:dyDescent="0.45">
      <c r="A121" s="106"/>
      <c r="B121" s="106"/>
      <c r="C121" s="15" t="str">
        <f>'BOM_(개조) HiNAS Control'!B14</f>
        <v>SC0010</v>
      </c>
      <c r="D121" s="4" t="str">
        <f>'BOM_(개조) HiNAS Control'!C14</f>
        <v>EO Camera</v>
      </c>
      <c r="E121" s="4" t="str">
        <f>'BOM_(개조) HiNAS Control'!E14</f>
        <v>광학 카메라(4K)</v>
      </c>
      <c r="F121" s="5">
        <f>'BOM_(개조) HiNAS Control'!I14</f>
        <v>3</v>
      </c>
      <c r="G121" s="4" t="str">
        <f>'BOM_(개조) HiNAS Control'!M14</f>
        <v>사이더스/e-con</v>
      </c>
      <c r="H121" s="4" t="str">
        <f>'BOM_(개조) HiNAS Control'!O14</f>
        <v>w. GMSL cable</v>
      </c>
    </row>
    <row r="122" spans="1:8" x14ac:dyDescent="0.45">
      <c r="A122" s="106"/>
      <c r="B122" s="106"/>
      <c r="C122" s="15" t="str">
        <f>'BOM_(개조) HiNAS Control'!B15</f>
        <v>SC0002</v>
      </c>
      <c r="D122" s="4" t="str">
        <f>'BOM_(개조) HiNAS Control'!C15</f>
        <v>IR camera</v>
      </c>
      <c r="E122" s="4" t="str">
        <f>'BOM_(개조) HiNAS Control'!E15</f>
        <v>열화상 카메라</v>
      </c>
      <c r="F122" s="5">
        <f>'BOM_(개조) HiNAS Control'!I15</f>
        <v>3</v>
      </c>
      <c r="G122" s="4" t="str">
        <f>'BOM_(개조) HiNAS Control'!M15</f>
        <v>IRKEN/FLIR</v>
      </c>
      <c r="H122" s="4" t="str">
        <f>'BOM_(개조) HiNAS Control'!O15</f>
        <v>w. VPC KIT</v>
      </c>
    </row>
    <row r="123" spans="1:8" x14ac:dyDescent="0.45">
      <c r="A123" s="106"/>
      <c r="B123" s="106"/>
      <c r="C123" s="15" t="str">
        <f>'BOM_(개조) HiNAS Control'!B16</f>
        <v>SC0003</v>
      </c>
      <c r="D123" s="4" t="str">
        <f>'BOM_(개조) HiNAS Control'!C16</f>
        <v>IR camera window</v>
      </c>
      <c r="E123" s="4" t="str">
        <f>'BOM_(개조) HiNAS Control'!E16</f>
        <v>열화상 카메라 윈도우</v>
      </c>
      <c r="F123" s="5">
        <f>'BOM_(개조) HiNAS Control'!I16</f>
        <v>3</v>
      </c>
      <c r="G123" s="4" t="str">
        <f>'BOM_(개조) HiNAS Control'!M16</f>
        <v>센서캠</v>
      </c>
      <c r="H123" s="4" t="str">
        <f>'BOM_(개조) HiNAS Control'!O16</f>
        <v>1세대 용 (직경 42mm)</v>
      </c>
    </row>
    <row r="124" spans="1:8" x14ac:dyDescent="0.45">
      <c r="A124" s="106"/>
      <c r="B124" s="106"/>
      <c r="C124" s="15" t="str">
        <f>'BOM_(개조) HiNAS Control'!B17</f>
        <v>SC0004</v>
      </c>
      <c r="D124" s="4" t="str">
        <f>'BOM_(개조) HiNAS Control'!C17</f>
        <v>NAS camera housing</v>
      </c>
      <c r="E124" s="4" t="str">
        <f>'BOM_(개조) HiNAS Control'!E17</f>
        <v>하우징</v>
      </c>
      <c r="F124" s="5">
        <f>'BOM_(개조) HiNAS Control'!I17</f>
        <v>1</v>
      </c>
      <c r="G124" s="4" t="str">
        <f>'BOM_(개조) HiNAS Control'!M17</f>
        <v>MRC</v>
      </c>
      <c r="H124" s="4" t="str">
        <f>'BOM_(개조) HiNAS Control'!O17</f>
        <v xml:space="preserve"> - </v>
      </c>
    </row>
    <row r="125" spans="1:8" x14ac:dyDescent="0.45">
      <c r="A125" s="106"/>
      <c r="B125" s="106"/>
      <c r="C125" s="15" t="str">
        <f>'BOM_(개조) HiNAS Control'!B18</f>
        <v>SC0005</v>
      </c>
      <c r="D125" s="4" t="str">
        <f>'BOM_(개조) HiNAS Control'!C18</f>
        <v>NAS junction box</v>
      </c>
      <c r="E125" s="4" t="str">
        <f>'BOM_(개조) HiNAS Control'!E18</f>
        <v>정션박스</v>
      </c>
      <c r="F125" s="5">
        <f>'BOM_(개조) HiNAS Control'!I18</f>
        <v>1</v>
      </c>
      <c r="G125" s="4" t="str">
        <f>'BOM_(개조) HiNAS Control'!M18</f>
        <v>MRC</v>
      </c>
      <c r="H125" s="4" t="str">
        <f>'BOM_(개조) HiNAS Control'!O18</f>
        <v xml:space="preserve"> - </v>
      </c>
    </row>
    <row r="126" spans="1:8" x14ac:dyDescent="0.45">
      <c r="A126" s="106"/>
      <c r="B126" s="106"/>
      <c r="C126" s="15" t="str">
        <f>'BOM_(개조) HiNAS Control'!B19</f>
        <v>SB0002</v>
      </c>
      <c r="D126" s="4" t="str">
        <f>'BOM_(개조) HiNAS Control'!C19</f>
        <v>Network switch</v>
      </c>
      <c r="E126" s="4" t="str">
        <f>'BOM_(개조) HiNAS Control'!E19</f>
        <v>허브 (선급인증품)</v>
      </c>
      <c r="F126" s="5">
        <f>'BOM_(개조) HiNAS Control'!I19</f>
        <v>2</v>
      </c>
      <c r="G126" s="4" t="str">
        <f>'BOM_(개조) HiNAS Control'!M19</f>
        <v>여의시스템</v>
      </c>
      <c r="H126" s="4" t="str">
        <f>'BOM_(개조) HiNAS Control'!O19</f>
        <v xml:space="preserve"> - </v>
      </c>
    </row>
    <row r="127" spans="1:8" x14ac:dyDescent="0.45">
      <c r="A127" s="106"/>
      <c r="B127" s="106"/>
      <c r="C127" s="15" t="str">
        <f>'BOM_(개조) HiNAS Control'!B20</f>
        <v>SB0004</v>
      </c>
      <c r="D127" s="4" t="str">
        <f>'BOM_(개조) HiNAS Control'!C20</f>
        <v>Firewall</v>
      </c>
      <c r="E127" s="4" t="str">
        <f>'BOM_(개조) HiNAS Control'!E20</f>
        <v>방화벽 (선급인증품)</v>
      </c>
      <c r="F127" s="5">
        <f>'BOM_(개조) HiNAS Control'!I20</f>
        <v>1</v>
      </c>
      <c r="G127" s="4" t="str">
        <f>'BOM_(개조) HiNAS Control'!M20</f>
        <v>MRC</v>
      </c>
      <c r="H127" s="4" t="str">
        <f>'BOM_(개조) HiNAS Control'!O20</f>
        <v xml:space="preserve"> - </v>
      </c>
    </row>
    <row r="128" spans="1:8" x14ac:dyDescent="0.45">
      <c r="A128" s="106"/>
      <c r="B128" s="106"/>
      <c r="C128" s="15" t="str">
        <f>'BOM_(개조) HiNAS Control'!B21</f>
        <v>SB0006</v>
      </c>
      <c r="D128" s="4" t="str">
        <f>'BOM_(개조) HiNAS Control'!C21</f>
        <v>Serial to Ethernet</v>
      </c>
      <c r="E128" s="4" t="str">
        <f>'BOM_(개조) HiNAS Control'!E21</f>
        <v>시리얼 통신을 LAN으로 변환</v>
      </c>
      <c r="F128" s="5">
        <f>'BOM_(개조) HiNAS Control'!I21</f>
        <v>1</v>
      </c>
      <c r="G128" s="4" t="str">
        <f>'BOM_(개조) HiNAS Control'!M21</f>
        <v>여의시스템</v>
      </c>
      <c r="H128" s="4" t="str">
        <f>'BOM_(개조) HiNAS Control'!O21</f>
        <v xml:space="preserve"> - </v>
      </c>
    </row>
    <row r="129" spans="1:8" x14ac:dyDescent="0.45">
      <c r="A129" s="106"/>
      <c r="B129" s="106"/>
      <c r="C129" s="15" t="str">
        <f>'BOM_(개조) HiNAS Control'!B22</f>
        <v>SB0011</v>
      </c>
      <c r="D129" s="4" t="str">
        <f>'BOM_(개조) HiNAS Control'!C22</f>
        <v>Selector Switch</v>
      </c>
      <c r="E129" s="4" t="str">
        <f>'BOM_(개조) HiNAS Control'!E22</f>
        <v>HiNAS control 선택 스위치</v>
      </c>
      <c r="F129" s="5">
        <f>'BOM_(개조) HiNAS Control'!I22</f>
        <v>1</v>
      </c>
      <c r="G129" s="4" t="str">
        <f>'BOM_(개조) HiNAS Control'!M22</f>
        <v>MRC/YDK</v>
      </c>
      <c r="H129" s="4" t="str">
        <f>'BOM_(개조) HiNAS Control'!O22</f>
        <v>YOKOGAWA (w. DIMMER BOX)</v>
      </c>
    </row>
    <row r="130" spans="1:8" x14ac:dyDescent="0.45">
      <c r="A130" s="106"/>
      <c r="B130" s="106"/>
      <c r="C130" s="15" t="str">
        <f>'BOM_(개조) HiNAS Control'!B23</f>
        <v>SE0003</v>
      </c>
      <c r="D130" s="4" t="str">
        <f>'BOM_(개조) HiNAS Control'!C23</f>
        <v>UPS</v>
      </c>
      <c r="E130" s="4" t="str">
        <f>'BOM_(개조) HiNAS Control'!E23</f>
        <v>1kVA, 무정전 전원 공급, Stand type</v>
      </c>
      <c r="F130" s="5">
        <f>'BOM_(개조) HiNAS Control'!I23</f>
        <v>1</v>
      </c>
      <c r="G130" s="4" t="str">
        <f>'BOM_(개조) HiNAS Control'!M23</f>
        <v>기호티이에스</v>
      </c>
      <c r="H130" s="4" t="str">
        <f>'BOM_(개조) HiNAS Control'!O23</f>
        <v>마린필터, network card, 케이블 포함</v>
      </c>
    </row>
    <row r="131" spans="1:8" x14ac:dyDescent="0.45">
      <c r="A131" s="106"/>
      <c r="B131" s="106"/>
      <c r="C131" s="15" t="str">
        <f>'BOM_(개조) HiNAS Control'!B24</f>
        <v>SZ0005</v>
      </c>
      <c r="D131" s="4" t="str">
        <f>'BOM_(개조) HiNAS Control'!C24</f>
        <v>keyboard &amp; mouse</v>
      </c>
      <c r="E131" s="4" t="str">
        <f>'BOM_(개조) HiNAS Control'!E24</f>
        <v>입력기기</v>
      </c>
      <c r="F131" s="5">
        <f>'BOM_(개조) HiNAS Control'!I24</f>
        <v>1</v>
      </c>
      <c r="G131" s="4" t="str">
        <f>'BOM_(개조) HiNAS Control'!M24</f>
        <v>MRC</v>
      </c>
      <c r="H131" s="4" t="str">
        <f>'BOM_(개조) HiNAS Control'!O24</f>
        <v xml:space="preserve"> - </v>
      </c>
    </row>
    <row r="132" spans="1:8" x14ac:dyDescent="0.45">
      <c r="A132" s="106"/>
      <c r="B132" s="106"/>
      <c r="C132" s="15" t="str">
        <f>'BOM_(개조) HiNAS Control'!B25</f>
        <v>SZ0004</v>
      </c>
      <c r="D132" s="4" t="str">
        <f>'BOM_(개조) HiNAS Control'!C25</f>
        <v>AP</v>
      </c>
      <c r="E132" s="4" t="str">
        <f>'BOM_(개조) HiNAS Control'!E25</f>
        <v>무선 공유기</v>
      </c>
      <c r="F132" s="5">
        <f>'BOM_(개조) HiNAS Control'!I25</f>
        <v>1</v>
      </c>
      <c r="G132" s="4" t="str">
        <f>'BOM_(개조) HiNAS Control'!M25</f>
        <v>쿠팡</v>
      </c>
      <c r="H132" s="4" t="str">
        <f>'BOM_(개조) HiNAS Control'!O25</f>
        <v xml:space="preserve"> - </v>
      </c>
    </row>
    <row r="133" spans="1:8" x14ac:dyDescent="0.45">
      <c r="A133" s="106"/>
      <c r="B133" s="106"/>
      <c r="C133" s="15" t="str">
        <f>'BOM_(개조) HiNAS Control'!B26</f>
        <v>SM0005</v>
      </c>
      <c r="D133" s="4" t="str">
        <f>'BOM_(개조) HiNAS Control'!C26</f>
        <v>Tablet PC</v>
      </c>
      <c r="E133" s="4" t="str">
        <f>'BOM_(개조) HiNAS Control'!E26</f>
        <v>Portable 모니터</v>
      </c>
      <c r="F133" s="5">
        <f>'BOM_(개조) HiNAS Control'!I26</f>
        <v>1</v>
      </c>
      <c r="G133" s="4" t="str">
        <f>'BOM_(개조) HiNAS Control'!M26</f>
        <v>컴퓨존</v>
      </c>
      <c r="H133" s="4" t="str">
        <f>'BOM_(개조) HiNAS Control'!O26</f>
        <v>COVER CASE, POWER ADAPTER 포함</v>
      </c>
    </row>
  </sheetData>
  <mergeCells count="16">
    <mergeCell ref="A2:A16"/>
    <mergeCell ref="B2:B16"/>
    <mergeCell ref="P2:Q2"/>
    <mergeCell ref="A17:A32"/>
    <mergeCell ref="B17:B32"/>
    <mergeCell ref="K3:K13"/>
    <mergeCell ref="A92:A117"/>
    <mergeCell ref="B92:B117"/>
    <mergeCell ref="A118:A133"/>
    <mergeCell ref="B118:B133"/>
    <mergeCell ref="A33:A54"/>
    <mergeCell ref="B33:B54"/>
    <mergeCell ref="A55:A75"/>
    <mergeCell ref="B55:B75"/>
    <mergeCell ref="A76:A91"/>
    <mergeCell ref="B76:B9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097F-85BD-4358-A900-737DF54AD588}">
  <sheetPr>
    <tabColor rgb="FFFF0000"/>
    <pageSetUpPr fitToPage="1"/>
  </sheetPr>
  <dimension ref="A2:P28"/>
  <sheetViews>
    <sheetView showGridLines="0" view="pageBreakPreview" zoomScale="80" zoomScaleNormal="100" zoomScaleSheetLayoutView="8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8" width="10" style="16"/>
    <col min="9" max="9" width="10" style="17"/>
    <col min="10" max="10" width="7" style="16" bestFit="1" customWidth="1"/>
    <col min="11" max="12" width="10" style="16"/>
    <col min="13" max="13" width="16.1640625" style="16" customWidth="1"/>
    <col min="14" max="14" width="14.5" style="16" customWidth="1"/>
    <col min="15" max="15" width="25.5" style="16" customWidth="1"/>
    <col min="16" max="16384" width="10" style="16"/>
  </cols>
  <sheetData>
    <row r="2" spans="1:16" ht="30" x14ac:dyDescent="0.45">
      <c r="A2" s="113" t="s">
        <v>38</v>
      </c>
      <c r="B2" s="113"/>
      <c r="C2" s="113"/>
      <c r="D2" s="113"/>
      <c r="E2" s="113"/>
      <c r="F2" s="113"/>
      <c r="G2" s="113"/>
      <c r="H2" s="113"/>
      <c r="I2" s="113"/>
      <c r="J2" s="113"/>
      <c r="K2" s="113"/>
      <c r="L2" s="113"/>
      <c r="M2" s="113"/>
      <c r="N2" s="113"/>
      <c r="O2" s="113"/>
    </row>
    <row r="3" spans="1:16" x14ac:dyDescent="0.45">
      <c r="C3" s="16" t="s">
        <v>39</v>
      </c>
    </row>
    <row r="4" spans="1:16" ht="21" customHeight="1" x14ac:dyDescent="0.45">
      <c r="A4" s="18" t="s">
        <v>40</v>
      </c>
      <c r="B4" s="19"/>
      <c r="C4" s="19" t="s">
        <v>41</v>
      </c>
      <c r="D4" s="20" t="s">
        <v>42</v>
      </c>
      <c r="E4" s="21"/>
      <c r="F4" s="21"/>
      <c r="G4" s="21"/>
      <c r="H4" s="21"/>
      <c r="I4" s="22"/>
      <c r="J4" s="21"/>
      <c r="K4" s="21"/>
      <c r="L4" s="21"/>
      <c r="M4" s="21"/>
      <c r="N4" s="21"/>
      <c r="O4" s="21"/>
    </row>
    <row r="5" spans="1:16" ht="21" customHeight="1" x14ac:dyDescent="0.45">
      <c r="A5" s="21" t="s">
        <v>43</v>
      </c>
      <c r="C5" s="16" t="s">
        <v>41</v>
      </c>
      <c r="D5" s="16" t="s">
        <v>13</v>
      </c>
      <c r="E5" s="21"/>
      <c r="F5" s="21"/>
      <c r="G5" s="21"/>
      <c r="H5" s="21"/>
      <c r="I5" s="22"/>
      <c r="J5" s="21"/>
      <c r="K5" s="21"/>
      <c r="L5" s="21"/>
      <c r="M5" s="21"/>
      <c r="N5" s="21"/>
      <c r="O5" s="21"/>
    </row>
    <row r="6" spans="1:16" ht="21" customHeight="1" x14ac:dyDescent="0.45">
      <c r="A6" s="21" t="s">
        <v>44</v>
      </c>
      <c r="C6" s="16" t="s">
        <v>41</v>
      </c>
      <c r="E6" s="21"/>
      <c r="F6" s="21"/>
      <c r="G6" s="21"/>
      <c r="H6" s="21"/>
      <c r="I6" s="22"/>
      <c r="J6" s="21"/>
      <c r="K6" s="21"/>
      <c r="L6" s="21"/>
      <c r="M6" s="21"/>
      <c r="N6" s="21"/>
      <c r="O6" s="21"/>
    </row>
    <row r="7" spans="1:16" ht="21" customHeight="1" x14ac:dyDescent="0.45">
      <c r="A7" s="21" t="s">
        <v>45</v>
      </c>
      <c r="C7" s="16" t="s">
        <v>41</v>
      </c>
      <c r="E7" s="21"/>
      <c r="F7" s="21" t="s">
        <v>39</v>
      </c>
      <c r="G7" s="21"/>
      <c r="H7" s="21"/>
      <c r="I7" s="22"/>
      <c r="J7" s="21"/>
      <c r="K7" s="21"/>
      <c r="L7" s="21"/>
      <c r="M7" s="21"/>
      <c r="N7" s="21"/>
      <c r="O7" s="21"/>
    </row>
    <row r="8" spans="1:16" ht="21" customHeight="1" x14ac:dyDescent="0.45">
      <c r="A8" s="21" t="s">
        <v>46</v>
      </c>
      <c r="E8" s="21"/>
      <c r="F8" s="21"/>
      <c r="G8" s="21"/>
      <c r="H8" s="21"/>
      <c r="I8" s="22"/>
      <c r="J8" s="21"/>
      <c r="K8" s="21"/>
      <c r="L8" s="21"/>
      <c r="M8" s="21"/>
      <c r="N8" s="21"/>
      <c r="O8" s="21"/>
    </row>
    <row r="9" spans="1:16" ht="6" customHeight="1" x14ac:dyDescent="0.45"/>
    <row r="10" spans="1:16" ht="34" x14ac:dyDescent="0.45">
      <c r="A10" s="23" t="s">
        <v>47</v>
      </c>
      <c r="B10" s="24" t="s">
        <v>48</v>
      </c>
      <c r="C10" s="114" t="s">
        <v>49</v>
      </c>
      <c r="D10" s="115"/>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63</v>
      </c>
      <c r="C11" s="28" t="str">
        <f>IFERROR(VLOOKUP($B11,자재리스트!$B$4:$M$92,2,FALSE),)</f>
        <v>Monitor</v>
      </c>
      <c r="D11" s="27"/>
      <c r="E11" s="27" t="str">
        <f>IFERROR(VLOOKUP($B11,자재리스트!$B$4:$M$92,4,FALSE),)</f>
        <v>27인치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3020000</v>
      </c>
      <c r="L11" s="29">
        <f>I11*K11</f>
        <v>3020000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IFERROR(VLOOKUP($B12,자재리스트!$B$4:$M$92,6,FALSE),)</f>
        <v>중국</v>
      </c>
      <c r="H12" s="27" t="str">
        <f>IFERROR(VLOOKUP($B12,자재리스트!$B$4:$M$92,7,FALSE),)</f>
        <v>개</v>
      </c>
      <c r="I12" s="29">
        <v>1</v>
      </c>
      <c r="J12" s="29" t="str">
        <f>IFERROR(VLOOKUP($B12,자재리스트!$B$4:$M$92,8,FALSE),)</f>
        <v>KRW</v>
      </c>
      <c r="K12" s="29">
        <f>IFERROR(VLOOKUP($B12,자재리스트!$B$4:$M$92,9,FALSE),)</f>
        <v>3320000</v>
      </c>
      <c r="L12" s="29">
        <f t="shared" ref="L12:L25" si="0">I12*K12</f>
        <v>3320000</v>
      </c>
      <c r="M12" s="27" t="str">
        <f>IFERROR(VLOOKUP($B12,자재리스트!$B$4:$M$92,10,FALSE),)</f>
        <v>테트라다인</v>
      </c>
      <c r="N12" s="27" t="str">
        <f>IFERROR(VLOOKUP($B12,자재리스트!$B$4:$M$92,11,FALSE),)</f>
        <v>거래명세서</v>
      </c>
      <c r="O12" s="27" t="str">
        <f>IFERROR(VLOOKUP($B12,자재리스트!$B$4:$M$92,12,FALSE),)</f>
        <v xml:space="preserve"> - </v>
      </c>
    </row>
    <row r="13" spans="1:16" ht="25.25" customHeight="1" x14ac:dyDescent="0.45">
      <c r="A13" s="26">
        <v>3</v>
      </c>
      <c r="B13" s="27" t="s">
        <v>65</v>
      </c>
      <c r="C13" s="28" t="str">
        <f>IFERROR(VLOOKUP($B13,자재리스트!$B$4:$M$92,2,FALSE),)</f>
        <v>Trackball Mouse</v>
      </c>
      <c r="D13" s="27"/>
      <c r="E13" s="27" t="str">
        <f>IFERROR(VLOOKUP($B13,자재리스트!$B$4:$M$92,4,FALSE),)</f>
        <v>마우스</v>
      </c>
      <c r="F13" s="27" t="str">
        <f>IFERROR(VLOOKUP($B13,자재리스트!$B$4:$M$92,5,FALSE),)</f>
        <v xml:space="preserve"> - </v>
      </c>
      <c r="G13" s="27" t="str">
        <f>IFERROR(VLOOKUP($B13,자재리스트!$B$4:$M$92,6,FALSE),)</f>
        <v>한국</v>
      </c>
      <c r="H13" s="27" t="str">
        <f>IFERROR(VLOOKUP($B13,자재리스트!$B$4:$M$92,7,FALSE),)</f>
        <v>개</v>
      </c>
      <c r="I13" s="29">
        <v>2</v>
      </c>
      <c r="J13" s="29" t="str">
        <f>IFERROR(VLOOKUP($B13,자재리스트!$B$4:$M$92,8,FALSE),)</f>
        <v>KRW</v>
      </c>
      <c r="K13" s="29">
        <f>IFERROR(VLOOKUP($B13,자재리스트!$B$4:$M$92,9,FALSE),)</f>
        <v>95000</v>
      </c>
      <c r="L13" s="29">
        <f t="shared" si="0"/>
        <v>190000</v>
      </c>
      <c r="M13" s="27" t="str">
        <f>IFERROR(VLOOKUP($B13,자재리스트!$B$4:$M$92,10,FALSE),)</f>
        <v>쿠팡</v>
      </c>
      <c r="N13" s="27" t="str">
        <f>IFERROR(VLOOKUP($B13,자재리스트!$B$4:$M$92,11,FALSE),)</f>
        <v>거래명세서</v>
      </c>
      <c r="O13" s="27" t="str">
        <f>IFERROR(VLOOKUP($B13,자재리스트!$B$4:$M$92,12,FALSE),)</f>
        <v xml:space="preserve"> - </v>
      </c>
    </row>
    <row r="14" spans="1:16" ht="25.25" customHeight="1" x14ac:dyDescent="0.45">
      <c r="A14" s="26">
        <v>4</v>
      </c>
      <c r="B14" s="27" t="s">
        <v>66</v>
      </c>
      <c r="C14" s="28" t="str">
        <f>IFERROR(VLOOKUP($B14,자재리스트!$B$4:$M$92,2,FALSE),)</f>
        <v>NAS camera housing</v>
      </c>
      <c r="D14" s="27"/>
      <c r="E14" s="27" t="str">
        <f>IFERROR(VLOOKUP($B14,자재리스트!$B$4:$M$92,4,FALSE),)</f>
        <v>하우징</v>
      </c>
      <c r="F14" s="27" t="str">
        <f>IFERROR(VLOOKUP($B14,자재리스트!$B$4:$M$92,5,FALSE),)</f>
        <v xml:space="preserve"> - </v>
      </c>
      <c r="G14" s="27" t="str">
        <f>IFERROR(VLOOKUP($B14,자재리스트!$B$4:$M$92,6,FALSE),)</f>
        <v>한국</v>
      </c>
      <c r="H14" s="27" t="str">
        <f>IFERROR(VLOOKUP($B14,자재리스트!$B$4:$M$92,7,FALSE),)</f>
        <v>개</v>
      </c>
      <c r="I14" s="29">
        <v>1</v>
      </c>
      <c r="J14" s="29" t="str">
        <f>IFERROR(VLOOKUP($B14,자재리스트!$B$4:$M$92,8,FALSE),)</f>
        <v>KRW</v>
      </c>
      <c r="K14" s="29">
        <f>IFERROR(VLOOKUP($B14,자재리스트!$B$4:$M$92,9,FALSE),)</f>
        <v>4300000</v>
      </c>
      <c r="L14" s="29">
        <f>I14*K14</f>
        <v>4300000</v>
      </c>
      <c r="M14" s="27" t="str">
        <f>IFERROR(VLOOKUP($B14,자재리스트!$B$4:$M$92,10,FALSE),)</f>
        <v>MRC</v>
      </c>
      <c r="N14" s="27" t="str">
        <f>IFERROR(VLOOKUP($B14,자재리스트!$B$4:$M$92,11,FALSE),)</f>
        <v>거래명세서</v>
      </c>
      <c r="O14" s="27" t="str">
        <f>IFERROR(VLOOKUP($B14,자재리스트!$B$4:$M$92,12,FALSE),)</f>
        <v xml:space="preserve"> - </v>
      </c>
    </row>
    <row r="15" spans="1:16" ht="25.25" customHeight="1" x14ac:dyDescent="0.45">
      <c r="A15" s="26">
        <v>5</v>
      </c>
      <c r="B15" s="27" t="s">
        <v>67</v>
      </c>
      <c r="C15" s="28" t="str">
        <f>IFERROR(VLOOKUP($B15,자재리스트!$B$4:$M$92,2,FALSE),)</f>
        <v>EO Camera</v>
      </c>
      <c r="D15" s="27"/>
      <c r="E15" s="27" t="str">
        <f>IFERROR(VLOOKUP($B15,자재리스트!$B$4:$M$92,4,FALSE),)</f>
        <v>광학 카메라(4K)</v>
      </c>
      <c r="F15" s="27" t="str">
        <f>IFERROR(VLOOKUP($B15,자재리스트!$B$4:$M$92,5,FALSE),)</f>
        <v xml:space="preserve"> - </v>
      </c>
      <c r="G15" s="27" t="str">
        <f>IFERROR(VLOOKUP($B15,자재리스트!$B$4:$M$92,6,FALSE),)</f>
        <v>인도</v>
      </c>
      <c r="H15" s="27" t="str">
        <f>IFERROR(VLOOKUP($B15,자재리스트!$B$4:$M$92,7,FALSE),)</f>
        <v>개</v>
      </c>
      <c r="I15" s="29">
        <v>3</v>
      </c>
      <c r="J15" s="29" t="str">
        <f>IFERROR(VLOOKUP($B15,자재리스트!$B$4:$M$92,8,FALSE),)</f>
        <v>KRW</v>
      </c>
      <c r="K15" s="29">
        <f>IFERROR(VLOOKUP($B15,자재리스트!$B$4:$M$92,9,FALSE),)</f>
        <v>532576</v>
      </c>
      <c r="L15" s="29">
        <f t="shared" si="0"/>
        <v>1597728</v>
      </c>
      <c r="M15" s="27" t="str">
        <f>IFERROR(VLOOKUP($B15,자재리스트!$B$4:$M$92,10,FALSE),)</f>
        <v>사이더스/e-con</v>
      </c>
      <c r="N15" s="27" t="str">
        <f>IFERROR(VLOOKUP($B15,자재리스트!$B$4:$M$92,11,FALSE),)</f>
        <v>거래명세서</v>
      </c>
      <c r="O15" s="27" t="str">
        <f>IFERROR(VLOOKUP($B15,자재리스트!$B$4:$M$92,12,FALSE),)</f>
        <v>w. GMSL cable</v>
      </c>
    </row>
    <row r="16" spans="1:16" ht="25.25" customHeight="1" x14ac:dyDescent="0.45">
      <c r="A16" s="26">
        <v>6</v>
      </c>
      <c r="B16" s="27" t="s">
        <v>68</v>
      </c>
      <c r="C16" s="28" t="str">
        <f>IFERROR(VLOOKUP($B16,자재리스트!$B$4:$M$92,2,FALSE),)</f>
        <v>IR camera</v>
      </c>
      <c r="D16" s="27"/>
      <c r="E16" s="27" t="str">
        <f>IFERROR(VLOOKUP($B16,자재리스트!$B$4:$M$92,4,FALSE),)</f>
        <v>열화상 카메라</v>
      </c>
      <c r="F16" s="27" t="str">
        <f>IFERROR(VLOOKUP($B16,자재리스트!$B$4:$M$92,5,FALSE),)</f>
        <v xml:space="preserve"> - </v>
      </c>
      <c r="G16" s="27" t="str">
        <f>IFERROR(VLOOKUP($B16,자재리스트!$B$4:$M$92,6,FALSE),)</f>
        <v>미국</v>
      </c>
      <c r="H16" s="27" t="str">
        <f>IFERROR(VLOOKUP($B16,자재리스트!$B$4:$M$92,7,FALSE),)</f>
        <v>개</v>
      </c>
      <c r="I16" s="29">
        <v>3</v>
      </c>
      <c r="J16" s="29" t="str">
        <f>IFERROR(VLOOKUP($B16,자재리스트!$B$4:$M$92,8,FALSE),)</f>
        <v>KRW</v>
      </c>
      <c r="K16" s="29">
        <f>IFERROR(VLOOKUP($B16,자재리스트!$B$4:$M$92,9,FALSE),)</f>
        <v>2487523</v>
      </c>
      <c r="L16" s="29">
        <f t="shared" si="0"/>
        <v>7462569</v>
      </c>
      <c r="M16" s="27" t="str">
        <f>IFERROR(VLOOKUP($B16,자재리스트!$B$4:$M$92,10,FALSE),)</f>
        <v>IRKEN/FLIR</v>
      </c>
      <c r="N16" s="27" t="str">
        <f>IFERROR(VLOOKUP($B16,자재리스트!$B$4:$M$92,11,FALSE),)</f>
        <v>거래명세서</v>
      </c>
      <c r="O16" s="27" t="str">
        <f>IFERROR(VLOOKUP($B16,자재리스트!$B$4:$M$92,12,FALSE),)</f>
        <v>w. VPC KIT</v>
      </c>
    </row>
    <row r="17" spans="1:15" ht="25.25" customHeight="1" x14ac:dyDescent="0.45">
      <c r="A17" s="26">
        <v>7</v>
      </c>
      <c r="B17" s="27" t="s">
        <v>69</v>
      </c>
      <c r="C17" s="28" t="str">
        <f>IFERROR(VLOOKUP($B17,자재리스트!$B$4:$M$92,2,FALSE),)</f>
        <v>IR camera window</v>
      </c>
      <c r="D17" s="27"/>
      <c r="E17" s="27" t="str">
        <f>IFERROR(VLOOKUP($B17,자재리스트!$B$4:$M$92,4,FALSE),)</f>
        <v>열화상 카메라 윈도우</v>
      </c>
      <c r="F17" s="27" t="str">
        <f>IFERROR(VLOOKUP($B17,자재리스트!$B$4:$M$92,5,FALSE),)</f>
        <v xml:space="preserve"> - </v>
      </c>
      <c r="G17" s="27" t="str">
        <f>IFERROR(VLOOKUP($B17,자재리스트!$B$4:$M$92,6,FALSE),)</f>
        <v>중국</v>
      </c>
      <c r="H17" s="27" t="str">
        <f>IFERROR(VLOOKUP($B17,자재리스트!$B$4:$M$92,7,FALSE),)</f>
        <v>개</v>
      </c>
      <c r="I17" s="29">
        <v>3</v>
      </c>
      <c r="J17" s="29" t="str">
        <f>IFERROR(VLOOKUP($B17,자재리스트!$B$4:$M$92,8,FALSE),)</f>
        <v>KRW</v>
      </c>
      <c r="K17" s="29">
        <f>IFERROR(VLOOKUP($B17,자재리스트!$B$4:$M$92,9,FALSE),)</f>
        <v>220965</v>
      </c>
      <c r="L17" s="29">
        <f t="shared" si="0"/>
        <v>662895</v>
      </c>
      <c r="M17" s="27" t="str">
        <f>IFERROR(VLOOKUP($B17,자재리스트!$B$4:$M$92,10,FALSE),)</f>
        <v>센서캠</v>
      </c>
      <c r="N17" s="27" t="str">
        <f>IFERROR(VLOOKUP($B17,자재리스트!$B$4:$M$92,11,FALSE),)</f>
        <v>거래명세서</v>
      </c>
      <c r="O17" s="27" t="str">
        <f>IFERROR(VLOOKUP($B17,자재리스트!$B$4:$M$92,12,FALSE),)</f>
        <v>1세대 용 (직경 42mm)</v>
      </c>
    </row>
    <row r="18" spans="1:15" ht="25.25" customHeight="1" x14ac:dyDescent="0.45">
      <c r="A18" s="26">
        <v>8</v>
      </c>
      <c r="B18" s="27" t="s">
        <v>70</v>
      </c>
      <c r="C18" s="28" t="str">
        <f>IFERROR(VLOOKUP($B18,자재리스트!$B$4:$M$92,2,FALSE),)</f>
        <v>NAS junction box</v>
      </c>
      <c r="D18" s="27"/>
      <c r="E18" s="27" t="str">
        <f>IFERROR(VLOOKUP($B18,자재리스트!$B$4:$M$92,4,FALSE),)</f>
        <v>정션박스</v>
      </c>
      <c r="F18" s="27" t="str">
        <f>IFERROR(VLOOKUP($B18,자재리스트!$B$4:$M$92,5,FALSE),)</f>
        <v xml:space="preserve"> - </v>
      </c>
      <c r="G18" s="27" t="str">
        <f>IFERROR(VLOOKUP($B18,자재리스트!$B$4:$M$92,6,FALSE),)</f>
        <v>한국</v>
      </c>
      <c r="H18" s="27" t="str">
        <f>IFERROR(VLOOKUP($B18,자재리스트!$B$4:$M$92,7,FALSE),)</f>
        <v>개</v>
      </c>
      <c r="I18" s="29">
        <v>1</v>
      </c>
      <c r="J18" s="29" t="str">
        <f>IFERROR(VLOOKUP($B18,자재리스트!$B$4:$M$92,8,FALSE),)</f>
        <v>KRW</v>
      </c>
      <c r="K18" s="29">
        <f>IFERROR(VLOOKUP($B18,자재리스트!$B$4:$M$92,9,FALSE),)</f>
        <v>1000000</v>
      </c>
      <c r="L18" s="29">
        <f t="shared" si="0"/>
        <v>1000000</v>
      </c>
      <c r="M18" s="27" t="str">
        <f>IFERROR(VLOOKUP($B18,자재리스트!$B$4:$M$92,10,FALSE),)</f>
        <v>MRC</v>
      </c>
      <c r="N18" s="27" t="str">
        <f>IFERROR(VLOOKUP($B18,자재리스트!$B$4:$M$92,11,FALSE),)</f>
        <v>거래명세서</v>
      </c>
      <c r="O18" s="27" t="str">
        <f>IFERROR(VLOOKUP($B18,자재리스트!$B$4:$M$92,12,FALSE),)</f>
        <v xml:space="preserve"> - </v>
      </c>
    </row>
    <row r="19" spans="1:15" ht="25.25" customHeight="1" x14ac:dyDescent="0.45">
      <c r="A19" s="26">
        <v>9</v>
      </c>
      <c r="B19" s="27" t="s">
        <v>71</v>
      </c>
      <c r="C19" s="28" t="str">
        <f>IFERROR(VLOOKUP($B19,자재리스트!$B$4:$M$92,2,FALSE),)</f>
        <v>Single Board Computer</v>
      </c>
      <c r="D19" s="27"/>
      <c r="E19" s="27" t="str">
        <f>IFERROR(VLOOKUP($B19,자재리스트!$B$4:$M$92,4,FALSE),)</f>
        <v>카메라와 서버 연동</v>
      </c>
      <c r="F19" s="27" t="str">
        <f>IFERROR(VLOOKUP($B19,자재리스트!$B$4:$M$92,5,FALSE),)</f>
        <v xml:space="preserve"> - </v>
      </c>
      <c r="G19" s="27" t="str">
        <f>IFERROR(VLOOKUP($B19,자재리스트!$B$4:$M$92,6,FALSE),)</f>
        <v>인도</v>
      </c>
      <c r="H19" s="27" t="str">
        <f>IFERROR(VLOOKUP($B19,자재리스트!$B$4:$M$92,7,FALSE),)</f>
        <v>개</v>
      </c>
      <c r="I19" s="29">
        <v>1</v>
      </c>
      <c r="J19" s="29" t="str">
        <f>IFERROR(VLOOKUP($B19,자재리스트!$B$4:$M$92,8,FALSE),)</f>
        <v>KRW</v>
      </c>
      <c r="K19" s="29">
        <f>IFERROR(VLOOKUP($B19,자재리스트!$B$4:$M$92,9,FALSE),)</f>
        <v>4508312</v>
      </c>
      <c r="L19" s="29">
        <f>I19*K19</f>
        <v>4508312</v>
      </c>
      <c r="M19" s="27" t="str">
        <f>IFERROR(VLOOKUP($B19,자재리스트!$B$4:$M$92,10,FALSE),)</f>
        <v>사이더스/e-con</v>
      </c>
      <c r="N19" s="27" t="str">
        <f>IFERROR(VLOOKUP($B19,자재리스트!$B$4:$M$92,11,FALSE),)</f>
        <v>거래명세서</v>
      </c>
      <c r="O19" s="27" t="str">
        <f>IFERROR(VLOOKUP($B19,자재리스트!$B$4:$M$92,12,FALSE),)</f>
        <v xml:space="preserve"> - </v>
      </c>
    </row>
    <row r="20" spans="1:15" ht="25.25" customHeight="1" x14ac:dyDescent="0.45">
      <c r="A20" s="26">
        <v>10</v>
      </c>
      <c r="B20" s="27" t="s">
        <v>72</v>
      </c>
      <c r="C20" s="28" t="str">
        <f>IFERROR(VLOOKUP($B20,자재리스트!$B$4:$M$92,2,FALSE),)</f>
        <v>SMPS</v>
      </c>
      <c r="D20" s="27"/>
      <c r="E20" s="27" t="str">
        <f>IFERROR(VLOOKUP($B20,자재리스트!$B$4:$M$92,4,FALSE),)</f>
        <v>Single Board Computer  전원 공급</v>
      </c>
      <c r="F20" s="27" t="str">
        <f>IFERROR(VLOOKUP($B20,자재리스트!$B$4:$M$92,5,FALSE),)</f>
        <v xml:space="preserve"> - </v>
      </c>
      <c r="G20" s="27" t="str">
        <f>IFERROR(VLOOKUP($B20,자재리스트!$B$4:$M$92,6,FALSE),)</f>
        <v>한국</v>
      </c>
      <c r="H20" s="27" t="str">
        <f>IFERROR(VLOOKUP($B20,자재리스트!$B$4:$M$92,7,FALSE),)</f>
        <v>개</v>
      </c>
      <c r="I20" s="29">
        <v>1</v>
      </c>
      <c r="J20" s="29" t="str">
        <f>IFERROR(VLOOKUP($B20,자재리스트!$B$4:$M$92,8,FALSE),)</f>
        <v>KRW</v>
      </c>
      <c r="K20" s="29">
        <f>IFERROR(VLOOKUP($B20,자재리스트!$B$4:$M$92,9,FALSE),)</f>
        <v>150000</v>
      </c>
      <c r="L20" s="29">
        <f t="shared" ref="L20:L21" si="1">I20*K20</f>
        <v>150000</v>
      </c>
      <c r="M20" s="27" t="str">
        <f>IFERROR(VLOOKUP($B20,자재리스트!$B$4:$M$92,10,FALSE),)</f>
        <v>파워캅</v>
      </c>
      <c r="N20" s="27" t="str">
        <f>IFERROR(VLOOKUP($B20,자재리스트!$B$4:$M$92,11,FALSE),)</f>
        <v>거래명세서</v>
      </c>
      <c r="O20" s="27" t="str">
        <f>IFERROR(VLOOKUP($B20,자재리스트!$B$4:$M$92,12,FALSE),)</f>
        <v xml:space="preserve"> - </v>
      </c>
    </row>
    <row r="21" spans="1:15" ht="25.25" customHeight="1" x14ac:dyDescent="0.45">
      <c r="A21" s="26">
        <v>11</v>
      </c>
      <c r="B21" s="27" t="s">
        <v>73</v>
      </c>
      <c r="C21" s="28" t="str">
        <f>IFERROR(VLOOKUP($B21,자재리스트!$B$4:$M$92,2,FALSE),)</f>
        <v>EMI/EMC filter</v>
      </c>
      <c r="D21" s="27"/>
      <c r="E21" s="27" t="str">
        <f>IFERROR(VLOOKUP($B21,자재리스트!$B$4:$M$92,4,FALSE),)</f>
        <v>정션박스 전자파 차폐용</v>
      </c>
      <c r="F21" s="27" t="str">
        <f>IFERROR(VLOOKUP($B21,자재리스트!$B$4:$M$92,5,FALSE),)</f>
        <v xml:space="preserve"> - </v>
      </c>
      <c r="G21" s="27" t="str">
        <f>IFERROR(VLOOKUP($B21,자재리스트!$B$4:$M$92,6,FALSE),)</f>
        <v>한국</v>
      </c>
      <c r="H21" s="27" t="str">
        <f>IFERROR(VLOOKUP($B21,자재리스트!$B$4:$M$92,7,FALSE),)</f>
        <v>개</v>
      </c>
      <c r="I21" s="29">
        <v>1</v>
      </c>
      <c r="J21" s="29" t="str">
        <f>IFERROR(VLOOKUP($B21,자재리스트!$B$4:$M$92,8,FALSE),)</f>
        <v>KRW</v>
      </c>
      <c r="K21" s="29">
        <f>IFERROR(VLOOKUP($B21,자재리스트!$B$4:$M$92,9,FALSE),)</f>
        <v>77000</v>
      </c>
      <c r="L21" s="29">
        <f t="shared" si="1"/>
        <v>77000</v>
      </c>
      <c r="M21" s="27" t="str">
        <f>IFERROR(VLOOKUP($B21,자재리스트!$B$4:$M$92,10,FALSE),)</f>
        <v>오키</v>
      </c>
      <c r="N21" s="27" t="str">
        <f>IFERROR(VLOOKUP($B21,자재리스트!$B$4:$M$92,11,FALSE),)</f>
        <v>거래명세서</v>
      </c>
      <c r="O21" s="27" t="str">
        <f>IFERROR(VLOOKUP($B21,자재리스트!$B$4:$M$92,12,FALSE),)</f>
        <v xml:space="preserve"> - </v>
      </c>
    </row>
    <row r="22" spans="1:15" ht="25.25" customHeight="1" x14ac:dyDescent="0.45">
      <c r="A22" s="26">
        <v>12</v>
      </c>
      <c r="B22" s="27" t="s">
        <v>74</v>
      </c>
      <c r="C22" s="28" t="str">
        <f>IFERROR(VLOOKUP($B22,자재리스트!$B$4:$M$92,2,FALSE),)</f>
        <v>Network switch</v>
      </c>
      <c r="D22" s="27"/>
      <c r="E22" s="27" t="str">
        <f>IFERROR(VLOOKUP($B22,자재리스트!$B$4:$M$92,4,FALSE),)</f>
        <v>허브 (선급인증품)</v>
      </c>
      <c r="F22" s="27" t="str">
        <f>IFERROR(VLOOKUP($B22,자재리스트!$B$4:$M$92,5,FALSE),)</f>
        <v xml:space="preserve"> - </v>
      </c>
      <c r="G22" s="27" t="str">
        <f>IFERROR(VLOOKUP($B22,자재리스트!$B$4:$M$92,6,FALSE),)</f>
        <v>한국</v>
      </c>
      <c r="H22" s="27" t="str">
        <f>IFERROR(VLOOKUP($B22,자재리스트!$B$4:$M$92,7,FALSE),)</f>
        <v>개</v>
      </c>
      <c r="I22" s="29">
        <v>1</v>
      </c>
      <c r="J22" s="29" t="str">
        <f>IFERROR(VLOOKUP($B22,자재리스트!$B$4:$M$92,8,FALSE),)</f>
        <v>KRW</v>
      </c>
      <c r="K22" s="29">
        <f>IFERROR(VLOOKUP($B22,자재리스트!$B$4:$M$92,9,FALSE),)</f>
        <v>1596000</v>
      </c>
      <c r="L22" s="29">
        <f t="shared" si="0"/>
        <v>1596000</v>
      </c>
      <c r="M22" s="27" t="str">
        <f>IFERROR(VLOOKUP($B22,자재리스트!$B$4:$M$92,10,FALSE),)</f>
        <v>여의시스템</v>
      </c>
      <c r="N22" s="27" t="str">
        <f>IFERROR(VLOOKUP($B22,자재리스트!$B$4:$M$92,11,FALSE),)</f>
        <v>거래명세서</v>
      </c>
      <c r="O22" s="27" t="str">
        <f>IFERROR(VLOOKUP($B22,자재리스트!$B$4:$M$92,12,FALSE),)</f>
        <v xml:space="preserve"> - </v>
      </c>
    </row>
    <row r="23" spans="1:15" ht="25.25" customHeight="1" x14ac:dyDescent="0.45">
      <c r="A23" s="26">
        <v>13</v>
      </c>
      <c r="B23" s="27" t="s">
        <v>75</v>
      </c>
      <c r="C23" s="28" t="str">
        <f>IFERROR(VLOOKUP($B23,자재리스트!$B$4:$M$92,2,FALSE),)</f>
        <v>UPS</v>
      </c>
      <c r="D23" s="27"/>
      <c r="E23" s="27" t="str">
        <f>IFERROR(VLOOKUP($B23,자재리스트!$B$4:$M$92,4,FALSE),)</f>
        <v>1kVA, 무정전 전원 공급, Stand type</v>
      </c>
      <c r="F23" s="27" t="str">
        <f>IFERROR(VLOOKUP($B23,자재리스트!$B$4:$M$92,5,FALSE),)</f>
        <v xml:space="preserve"> - </v>
      </c>
      <c r="G23" s="27" t="str">
        <f>IFERROR(VLOOKUP($B23,자재리스트!$B$4:$M$92,6,FALSE),)</f>
        <v>한국</v>
      </c>
      <c r="H23" s="27" t="str">
        <f>IFERROR(VLOOKUP($B23,자재리스트!$B$4:$M$92,7,FALSE),)</f>
        <v>개</v>
      </c>
      <c r="I23" s="29">
        <v>1</v>
      </c>
      <c r="J23" s="29" t="str">
        <f>IFERROR(VLOOKUP($B23,자재리스트!$B$4:$M$92,8,FALSE),)</f>
        <v>KRW</v>
      </c>
      <c r="K23" s="29">
        <f>IFERROR(VLOOKUP($B23,자재리스트!$B$4:$M$92,9,FALSE),)</f>
        <v>1325500</v>
      </c>
      <c r="L23" s="29">
        <f t="shared" si="0"/>
        <v>1325500</v>
      </c>
      <c r="M23" s="27" t="str">
        <f>IFERROR(VLOOKUP($B23,자재리스트!$B$4:$M$92,10,FALSE),)</f>
        <v>기호티이에스</v>
      </c>
      <c r="N23" s="27" t="str">
        <f>IFERROR(VLOOKUP($B23,자재리스트!$B$4:$M$92,11,FALSE),)</f>
        <v>거래명세서</v>
      </c>
      <c r="O23" s="27" t="str">
        <f>IFERROR(VLOOKUP($B23,자재리스트!$B$4:$M$92,12,FALSE),)</f>
        <v>마린필터, network card, 케이블 포함</v>
      </c>
    </row>
    <row r="24" spans="1:15" ht="25.25" customHeight="1" x14ac:dyDescent="0.45">
      <c r="A24" s="26">
        <v>14</v>
      </c>
      <c r="B24" s="27" t="s">
        <v>76</v>
      </c>
      <c r="C24" s="28" t="str">
        <f>IFERROR(VLOOKUP($B24,자재리스트!$B$4:$M$92,2,FALSE),)</f>
        <v>멀티탭</v>
      </c>
      <c r="D24" s="27"/>
      <c r="E24" s="27" t="str">
        <f>IFERROR(VLOOKUP($B24,자재리스트!$B$4:$M$92,4,FALSE),)</f>
        <v>UPS용</v>
      </c>
      <c r="F24" s="27" t="str">
        <f>IFERROR(VLOOKUP($B24,자재리스트!$B$4:$M$92,5,FALSE),)</f>
        <v xml:space="preserve"> - </v>
      </c>
      <c r="G24" s="27" t="str">
        <f>IFERROR(VLOOKUP($B24,자재리스트!$B$4:$M$92,6,FALSE),)</f>
        <v>한국</v>
      </c>
      <c r="H24" s="27" t="str">
        <f>IFERROR(VLOOKUP($B24,자재리스트!$B$4:$M$92,7,FALSE),)</f>
        <v>개</v>
      </c>
      <c r="I24" s="29">
        <v>2</v>
      </c>
      <c r="J24" s="29" t="str">
        <f>IFERROR(VLOOKUP($B24,자재리스트!$B$4:$M$92,8,FALSE),)</f>
        <v>KRW</v>
      </c>
      <c r="K24" s="29">
        <f>IFERROR(VLOOKUP($B24,자재리스트!$B$4:$M$92,9,FALSE),)</f>
        <v>10800</v>
      </c>
      <c r="L24" s="29">
        <f t="shared" si="0"/>
        <v>21600</v>
      </c>
      <c r="M24" s="27" t="str">
        <f>IFERROR(VLOOKUP($B24,자재리스트!$B$4:$M$92,10,FALSE),)</f>
        <v>쿠팡</v>
      </c>
      <c r="N24" s="27" t="str">
        <f>IFERROR(VLOOKUP($B24,자재리스트!$B$4:$M$92,11,FALSE),)</f>
        <v>거래명세서</v>
      </c>
      <c r="O24" s="27" t="str">
        <f>IFERROR(VLOOKUP($B24,자재리스트!$B$4:$M$92,12,FALSE),)</f>
        <v xml:space="preserve"> - </v>
      </c>
    </row>
    <row r="25" spans="1:15" ht="25.25" customHeight="1" x14ac:dyDescent="0.45">
      <c r="A25" s="26">
        <v>15</v>
      </c>
      <c r="B25" s="27" t="s">
        <v>77</v>
      </c>
      <c r="C25" s="28" t="str">
        <f>IFERROR(VLOOKUP($B25,자재리스트!$B$4:$M$92,2,FALSE),)</f>
        <v>C13-C14(MALE)</v>
      </c>
      <c r="D25" s="27"/>
      <c r="E25" s="27" t="str">
        <f>IFERROR(VLOOKUP($B25,자재리스트!$B$4:$M$92,4,FALSE),)</f>
        <v>UPS용</v>
      </c>
      <c r="F25" s="27" t="str">
        <f>IFERROR(VLOOKUP($B25,자재리스트!$B$4:$M$92,5,FALSE),)</f>
        <v xml:space="preserve"> - </v>
      </c>
      <c r="G25" s="27" t="str">
        <f>IFERROR(VLOOKUP($B25,자재리스트!$B$4:$M$92,6,FALSE),)</f>
        <v>한국</v>
      </c>
      <c r="H25" s="27" t="str">
        <f>IFERROR(VLOOKUP($B25,자재리스트!$B$4:$M$92,7,FALSE),)</f>
        <v>개</v>
      </c>
      <c r="I25" s="29">
        <v>3</v>
      </c>
      <c r="J25" s="29" t="str">
        <f>IFERROR(VLOOKUP($B25,자재리스트!$B$4:$M$92,8,FALSE),)</f>
        <v>KRW</v>
      </c>
      <c r="K25" s="29">
        <f>IFERROR(VLOOKUP($B25,자재리스트!$B$4:$M$92,9,FALSE),)</f>
        <v>9900</v>
      </c>
      <c r="L25" s="29">
        <f t="shared" si="0"/>
        <v>29700</v>
      </c>
      <c r="M25" s="27" t="str">
        <f>IFERROR(VLOOKUP($B25,자재리스트!$B$4:$M$92,10,FALSE),)</f>
        <v>한주전자</v>
      </c>
      <c r="N25" s="27" t="str">
        <f>IFERROR(VLOOKUP($B25,자재리스트!$B$4:$M$92,11,FALSE),)</f>
        <v>거래명세서</v>
      </c>
      <c r="O25" s="27" t="str">
        <f>IFERROR(VLOOKUP($B25,자재리스트!$B$4:$M$92,12,FALSE),)</f>
        <v xml:space="preserve"> - </v>
      </c>
    </row>
    <row r="27" spans="1:15" ht="17.5" x14ac:dyDescent="0.45">
      <c r="C27" s="116" t="s">
        <v>78</v>
      </c>
      <c r="D27" s="116"/>
      <c r="E27" s="116"/>
      <c r="F27" s="116"/>
      <c r="G27" s="116"/>
      <c r="H27" s="116"/>
      <c r="I27" s="116"/>
      <c r="J27" s="116"/>
      <c r="K27" s="116"/>
      <c r="L27" s="116"/>
      <c r="M27" s="116"/>
      <c r="N27" s="116"/>
      <c r="O27" s="116"/>
    </row>
    <row r="28" spans="1:15" ht="17.5" x14ac:dyDescent="0.45">
      <c r="C28" s="116" t="s">
        <v>79</v>
      </c>
      <c r="D28" s="116"/>
      <c r="E28" s="116"/>
      <c r="F28" s="116"/>
      <c r="G28" s="116"/>
      <c r="H28" s="116"/>
      <c r="I28" s="116"/>
      <c r="J28" s="116"/>
      <c r="K28" s="116"/>
      <c r="L28" s="116"/>
      <c r="M28" s="116"/>
      <c r="N28" s="116"/>
      <c r="O28" s="116"/>
    </row>
  </sheetData>
  <mergeCells count="4">
    <mergeCell ref="A2:O2"/>
    <mergeCell ref="C10:D10"/>
    <mergeCell ref="C27:O27"/>
    <mergeCell ref="C28:O28"/>
  </mergeCells>
  <phoneticPr fontId="3" type="noConversion"/>
  <printOptions horizontalCentered="1"/>
  <pageMargins left="0.70866141732283472" right="0.70866141732283472" top="0.74803149606299213" bottom="0.74803149606299213" header="0.31496062992125984" footer="0.31496062992125984"/>
  <pageSetup paperSize="9" scale="65" fitToHeight="0" orientation="landscape" r:id="rId1"/>
  <headerFooter>
    <oddFooter>&amp;L_x000D_&amp;1#&amp;"Calibri"&amp;9&amp;K000000 Confidential | AVIKUS – Unauthorized distribution is strictly prohibited</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5EEA-9D7A-4082-9198-DE6A2F15E580}">
  <sheetPr>
    <tabColor rgb="FFFF0000"/>
    <pageSetUpPr fitToPage="1"/>
  </sheetPr>
  <dimension ref="A2:P29"/>
  <sheetViews>
    <sheetView showGridLines="0" view="pageBreakPreview" topLeftCell="A7" zoomScaleNormal="100" zoomScaleSheetLayoutView="10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2" spans="1:16" ht="30" x14ac:dyDescent="0.45">
      <c r="A2" s="113" t="s">
        <v>38</v>
      </c>
      <c r="B2" s="113"/>
      <c r="C2" s="113"/>
      <c r="D2" s="113"/>
      <c r="E2" s="113"/>
      <c r="F2" s="113"/>
      <c r="G2" s="113"/>
      <c r="H2" s="113"/>
      <c r="I2" s="113"/>
      <c r="J2" s="113"/>
      <c r="K2" s="113"/>
      <c r="L2" s="113"/>
      <c r="M2" s="113"/>
      <c r="N2" s="113"/>
      <c r="O2" s="113"/>
    </row>
    <row r="3" spans="1:16" x14ac:dyDescent="0.45">
      <c r="C3" s="16" t="s">
        <v>39</v>
      </c>
    </row>
    <row r="4" spans="1:16" ht="21" customHeight="1" x14ac:dyDescent="0.45">
      <c r="A4" s="18" t="s">
        <v>40</v>
      </c>
      <c r="B4" s="19"/>
      <c r="C4" s="19" t="s">
        <v>41</v>
      </c>
      <c r="D4" s="20" t="s">
        <v>80</v>
      </c>
      <c r="E4" s="21"/>
      <c r="F4" s="21"/>
      <c r="G4" s="21"/>
      <c r="H4" s="21"/>
      <c r="I4" s="21"/>
      <c r="J4" s="21"/>
      <c r="K4" s="21"/>
      <c r="L4" s="21"/>
      <c r="M4" s="21"/>
      <c r="N4" s="21"/>
      <c r="O4" s="21"/>
    </row>
    <row r="5" spans="1:16" ht="21" customHeight="1" x14ac:dyDescent="0.45">
      <c r="A5" s="21" t="s">
        <v>43</v>
      </c>
      <c r="C5" s="16" t="s">
        <v>41</v>
      </c>
      <c r="D5" s="16" t="s">
        <v>16</v>
      </c>
      <c r="E5" s="21"/>
      <c r="F5" s="21"/>
      <c r="G5" s="21"/>
      <c r="H5" s="21"/>
      <c r="I5" s="21"/>
      <c r="J5" s="21"/>
      <c r="K5" s="21"/>
      <c r="L5" s="21"/>
      <c r="M5" s="21"/>
      <c r="N5" s="21"/>
      <c r="O5" s="21"/>
    </row>
    <row r="6" spans="1:16" ht="21" customHeight="1" x14ac:dyDescent="0.45">
      <c r="A6" s="21" t="s">
        <v>44</v>
      </c>
      <c r="C6" s="16" t="s">
        <v>41</v>
      </c>
      <c r="E6" s="21"/>
      <c r="F6" s="21"/>
      <c r="G6" s="21"/>
      <c r="H6" s="21"/>
      <c r="I6" s="21"/>
      <c r="J6" s="21"/>
      <c r="K6" s="21"/>
      <c r="L6" s="21"/>
      <c r="M6" s="21"/>
      <c r="N6" s="21"/>
      <c r="O6" s="21"/>
    </row>
    <row r="7" spans="1:16" ht="21" customHeight="1" x14ac:dyDescent="0.45">
      <c r="A7" s="21" t="s">
        <v>45</v>
      </c>
      <c r="C7" s="16" t="s">
        <v>41</v>
      </c>
      <c r="E7" s="21"/>
      <c r="F7" s="21" t="s">
        <v>39</v>
      </c>
      <c r="G7" s="21"/>
      <c r="H7" s="21"/>
      <c r="I7" s="21"/>
      <c r="J7" s="21"/>
      <c r="K7" s="21"/>
      <c r="L7" s="21"/>
      <c r="M7" s="21"/>
      <c r="N7" s="21"/>
      <c r="O7" s="21"/>
    </row>
    <row r="8" spans="1:16" ht="21" customHeight="1" x14ac:dyDescent="0.45">
      <c r="A8" s="21" t="s">
        <v>46</v>
      </c>
      <c r="E8" s="21"/>
      <c r="F8" s="21"/>
      <c r="G8" s="21"/>
      <c r="H8" s="21"/>
      <c r="I8" s="21"/>
      <c r="J8" s="21"/>
      <c r="K8" s="21"/>
      <c r="L8" s="21"/>
      <c r="M8" s="21"/>
      <c r="N8" s="21"/>
      <c r="O8" s="21"/>
    </row>
    <row r="9" spans="1:16" ht="6" customHeight="1" x14ac:dyDescent="0.45"/>
    <row r="10" spans="1:16" ht="34" x14ac:dyDescent="0.45">
      <c r="A10" s="23" t="s">
        <v>47</v>
      </c>
      <c r="B10" s="24" t="s">
        <v>48</v>
      </c>
      <c r="C10" s="114" t="s">
        <v>49</v>
      </c>
      <c r="D10" s="115"/>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81</v>
      </c>
      <c r="C11" s="28" t="str">
        <f>IFERROR(VLOOKUP($B11,자재리스트!$B$4:$M$92,2,FALSE),)</f>
        <v>Monitor</v>
      </c>
      <c r="D11" s="27"/>
      <c r="E11" s="27" t="str">
        <f>IFERROR(VLOOKUP($B11,자재리스트!$B$4:$M$92,4,FALSE),)</f>
        <v>DOM 58.4인치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6540000</v>
      </c>
      <c r="L11" s="29">
        <f>I11*K11</f>
        <v>6540000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IFERROR(VLOOKUP($B12,자재리스트!$B$4:$M$92,6,FALSE),)</f>
        <v>중국</v>
      </c>
      <c r="H12" s="27" t="str">
        <f>IFERROR(VLOOKUP($B12,자재리스트!$B$4:$M$92,7,FALSE),)</f>
        <v>개</v>
      </c>
      <c r="I12" s="29">
        <v>1</v>
      </c>
      <c r="J12" s="29" t="str">
        <f>IFERROR(VLOOKUP($B12,자재리스트!$B$4:$M$92,8,FALSE),)</f>
        <v>KRW</v>
      </c>
      <c r="K12" s="29">
        <f>IFERROR(VLOOKUP($B12,자재리스트!$B$4:$M$92,9,FALSE),)</f>
        <v>3320000</v>
      </c>
      <c r="L12" s="29">
        <f t="shared" ref="L12:L26" si="0">I12*K12</f>
        <v>3320000</v>
      </c>
      <c r="M12" s="27" t="str">
        <f>IFERROR(VLOOKUP($B12,자재리스트!$B$4:$M$92,10,FALSE),)</f>
        <v>테트라다인</v>
      </c>
      <c r="N12" s="27" t="str">
        <f>IFERROR(VLOOKUP($B12,자재리스트!$B$4:$M$92,11,FALSE),)</f>
        <v>거래명세서</v>
      </c>
      <c r="O12" s="27" t="str">
        <f>IFERROR(VLOOKUP($B12,자재리스트!$B$4:$M$92,12,FALSE),)</f>
        <v xml:space="preserve"> - </v>
      </c>
    </row>
    <row r="13" spans="1:16" ht="25.25" customHeight="1" x14ac:dyDescent="0.45">
      <c r="A13" s="26">
        <v>3</v>
      </c>
      <c r="B13" s="27" t="s">
        <v>65</v>
      </c>
      <c r="C13" s="28" t="str">
        <f>IFERROR(VLOOKUP($B13,자재리스트!$B$4:$M$92,2,FALSE),)</f>
        <v>Trackball Mouse</v>
      </c>
      <c r="D13" s="27"/>
      <c r="E13" s="27" t="str">
        <f>IFERROR(VLOOKUP($B13,자재리스트!$B$4:$M$92,4,FALSE),)</f>
        <v>마우스</v>
      </c>
      <c r="F13" s="27" t="str">
        <f>IFERROR(VLOOKUP($B13,자재리스트!$B$4:$M$92,5,FALSE),)</f>
        <v xml:space="preserve"> - </v>
      </c>
      <c r="G13" s="27" t="str">
        <f>IFERROR(VLOOKUP($B13,자재리스트!$B$4:$M$92,6,FALSE),)</f>
        <v>한국</v>
      </c>
      <c r="H13" s="27" t="str">
        <f>IFERROR(VLOOKUP($B13,자재리스트!$B$4:$M$92,7,FALSE),)</f>
        <v>개</v>
      </c>
      <c r="I13" s="29">
        <v>2</v>
      </c>
      <c r="J13" s="29" t="str">
        <f>IFERROR(VLOOKUP($B13,자재리스트!$B$4:$M$92,8,FALSE),)</f>
        <v>KRW</v>
      </c>
      <c r="K13" s="29">
        <f>IFERROR(VLOOKUP($B13,자재리스트!$B$4:$M$92,9,FALSE),)</f>
        <v>95000</v>
      </c>
      <c r="L13" s="29">
        <f t="shared" si="0"/>
        <v>190000</v>
      </c>
      <c r="M13" s="27" t="str">
        <f>IFERROR(VLOOKUP($B13,자재리스트!$B$4:$M$92,10,FALSE),)</f>
        <v>쿠팡</v>
      </c>
      <c r="N13" s="27" t="str">
        <f>IFERROR(VLOOKUP($B13,자재리스트!$B$4:$M$92,11,FALSE),)</f>
        <v>거래명세서</v>
      </c>
      <c r="O13" s="27" t="str">
        <f>IFERROR(VLOOKUP($B13,자재리스트!$B$4:$M$92,12,FALSE),)</f>
        <v xml:space="preserve"> - </v>
      </c>
    </row>
    <row r="14" spans="1:16" ht="25.25" customHeight="1" x14ac:dyDescent="0.45">
      <c r="A14" s="26">
        <v>4</v>
      </c>
      <c r="B14" s="27" t="s">
        <v>82</v>
      </c>
      <c r="C14" s="28" t="str">
        <f>IFERROR(VLOOKUP($B14,자재리스트!$B$4:$M$92,2,FALSE),)</f>
        <v>Firewall</v>
      </c>
      <c r="D14" s="27"/>
      <c r="E14" s="27" t="str">
        <f>IFERROR(VLOOKUP($B14,자재리스트!$B$4:$M$92,4,FALSE),)</f>
        <v>방화벽 (선급인증품)</v>
      </c>
      <c r="F14" s="27" t="str">
        <f>IFERROR(VLOOKUP($B14,자재리스트!$B$4:$M$92,5,FALSE),)</f>
        <v xml:space="preserve"> - </v>
      </c>
      <c r="G14" s="27" t="str">
        <f>IFERROR(VLOOKUP($B14,자재리스트!$B$4:$M$92,6,FALSE),)</f>
        <v>한국</v>
      </c>
      <c r="H14" s="27" t="str">
        <f>IFERROR(VLOOKUP($B14,자재리스트!$B$4:$M$92,7,FALSE),)</f>
        <v>개</v>
      </c>
      <c r="I14" s="29">
        <v>1</v>
      </c>
      <c r="J14" s="29" t="str">
        <f>IFERROR(VLOOKUP($B14,자재리스트!$B$4:$M$92,8,FALSE),)</f>
        <v>KRW</v>
      </c>
      <c r="K14" s="29">
        <f>IFERROR(VLOOKUP($B14,자재리스트!$B$4:$M$92,9,FALSE),)</f>
        <v>3800000</v>
      </c>
      <c r="L14" s="29">
        <f t="shared" si="0"/>
        <v>3800000</v>
      </c>
      <c r="M14" s="27" t="str">
        <f>IFERROR(VLOOKUP($B14,자재리스트!$B$4:$M$92,10,FALSE),)</f>
        <v>MRC</v>
      </c>
      <c r="N14" s="27" t="str">
        <f>IFERROR(VLOOKUP($B14,자재리스트!$B$4:$M$92,11,FALSE),)</f>
        <v>거래명세서</v>
      </c>
      <c r="O14" s="27" t="str">
        <f>IFERROR(VLOOKUP($B14,자재리스트!$B$4:$M$92,12,FALSE),)</f>
        <v xml:space="preserve"> - </v>
      </c>
    </row>
    <row r="15" spans="1:16" ht="25.25" customHeight="1" x14ac:dyDescent="0.45">
      <c r="A15" s="26">
        <v>5</v>
      </c>
      <c r="B15" s="27" t="s">
        <v>74</v>
      </c>
      <c r="C15" s="28" t="str">
        <f>IFERROR(VLOOKUP($B15,자재리스트!$B$4:$M$92,2,FALSE),)</f>
        <v>Network switch</v>
      </c>
      <c r="D15" s="27"/>
      <c r="E15" s="27" t="str">
        <f>IFERROR(VLOOKUP($B15,자재리스트!$B$4:$M$92,4,FALSE),)</f>
        <v>허브 (선급인증품)</v>
      </c>
      <c r="F15" s="27" t="str">
        <f>IFERROR(VLOOKUP($B15,자재리스트!$B$4:$M$92,5,FALSE),)</f>
        <v xml:space="preserve"> - </v>
      </c>
      <c r="G15" s="27" t="str">
        <f>IFERROR(VLOOKUP($B15,자재리스트!$B$4:$M$92,6,FALSE),)</f>
        <v>한국</v>
      </c>
      <c r="H15" s="27" t="str">
        <f>IFERROR(VLOOKUP($B15,자재리스트!$B$4:$M$92,7,FALSE),)</f>
        <v>개</v>
      </c>
      <c r="I15" s="29">
        <v>1</v>
      </c>
      <c r="J15" s="29" t="str">
        <f>IFERROR(VLOOKUP($B15,자재리스트!$B$4:$M$92,8,FALSE),)</f>
        <v>KRW</v>
      </c>
      <c r="K15" s="29">
        <f>IFERROR(VLOOKUP($B15,자재리스트!$B$4:$M$92,9,FALSE),)</f>
        <v>1596000</v>
      </c>
      <c r="L15" s="29">
        <f>I15*K15</f>
        <v>1596000</v>
      </c>
      <c r="M15" s="27" t="str">
        <f>IFERROR(VLOOKUP($B15,자재리스트!$B$4:$M$92,10,FALSE),)</f>
        <v>여의시스템</v>
      </c>
      <c r="N15" s="27" t="str">
        <f>IFERROR(VLOOKUP($B15,자재리스트!$B$4:$M$92,11,FALSE),)</f>
        <v>거래명세서</v>
      </c>
      <c r="O15" s="27" t="str">
        <f>IFERROR(VLOOKUP($B15,자재리스트!$B$4:$M$92,12,FALSE),)</f>
        <v xml:space="preserve"> - </v>
      </c>
    </row>
    <row r="16" spans="1:16" ht="25.25" customHeight="1" x14ac:dyDescent="0.45">
      <c r="A16" s="26">
        <v>6</v>
      </c>
      <c r="B16" s="27" t="s">
        <v>66</v>
      </c>
      <c r="C16" s="28" t="str">
        <f>IFERROR(VLOOKUP($B16,자재리스트!$B$4:$M$92,2,FALSE),)</f>
        <v>NAS camera housing</v>
      </c>
      <c r="D16" s="27"/>
      <c r="E16" s="27" t="str">
        <f>IFERROR(VLOOKUP($B16,자재리스트!$B$4:$M$92,4,FALSE),)</f>
        <v>하우징</v>
      </c>
      <c r="F16" s="27" t="str">
        <f>IFERROR(VLOOKUP($B16,자재리스트!$B$4:$M$92,5,FALSE),)</f>
        <v xml:space="preserve"> - </v>
      </c>
      <c r="G16" s="27" t="str">
        <f>IFERROR(VLOOKUP($B16,자재리스트!$B$4:$M$92,6,FALSE),)</f>
        <v>한국</v>
      </c>
      <c r="H16" s="27" t="str">
        <f>IFERROR(VLOOKUP($B16,자재리스트!$B$4:$M$92,7,FALSE),)</f>
        <v>개</v>
      </c>
      <c r="I16" s="29">
        <v>1</v>
      </c>
      <c r="J16" s="29" t="str">
        <f>IFERROR(VLOOKUP($B16,자재리스트!$B$4:$M$92,8,FALSE),)</f>
        <v>KRW</v>
      </c>
      <c r="K16" s="29">
        <f>IFERROR(VLOOKUP($B16,자재리스트!$B$4:$M$92,9,FALSE),)</f>
        <v>4300000</v>
      </c>
      <c r="L16" s="29">
        <f>I16*K16</f>
        <v>4300000</v>
      </c>
      <c r="M16" s="27" t="str">
        <f>IFERROR(VLOOKUP($B16,자재리스트!$B$4:$M$92,10,FALSE),)</f>
        <v>MRC</v>
      </c>
      <c r="N16" s="27" t="str">
        <f>IFERROR(VLOOKUP($B16,자재리스트!$B$4:$M$92,11,FALSE),)</f>
        <v>거래명세서</v>
      </c>
      <c r="O16" s="27" t="str">
        <f>IFERROR(VLOOKUP($B16,자재리스트!$B$4:$M$92,12,FALSE),)</f>
        <v xml:space="preserve"> - </v>
      </c>
    </row>
    <row r="17" spans="1:15" ht="25.25" customHeight="1" x14ac:dyDescent="0.45">
      <c r="A17" s="26">
        <v>7</v>
      </c>
      <c r="B17" s="27" t="s">
        <v>67</v>
      </c>
      <c r="C17" s="28" t="str">
        <f>IFERROR(VLOOKUP($B17,자재리스트!$B$4:$M$92,2,FALSE),)</f>
        <v>EO Camera</v>
      </c>
      <c r="D17" s="27"/>
      <c r="E17" s="27" t="str">
        <f>IFERROR(VLOOKUP($B17,자재리스트!$B$4:$M$92,4,FALSE),)</f>
        <v>광학 카메라(4K)</v>
      </c>
      <c r="F17" s="27" t="str">
        <f>IFERROR(VLOOKUP($B17,자재리스트!$B$4:$M$92,5,FALSE),)</f>
        <v xml:space="preserve"> - </v>
      </c>
      <c r="G17" s="27" t="str">
        <f>IFERROR(VLOOKUP($B17,자재리스트!$B$4:$M$92,6,FALSE),)</f>
        <v>인도</v>
      </c>
      <c r="H17" s="27" t="str">
        <f>IFERROR(VLOOKUP($B17,자재리스트!$B$4:$M$92,7,FALSE),)</f>
        <v>개</v>
      </c>
      <c r="I17" s="29">
        <v>3</v>
      </c>
      <c r="J17" s="29" t="str">
        <f>IFERROR(VLOOKUP($B17,자재리스트!$B$4:$M$92,8,FALSE),)</f>
        <v>KRW</v>
      </c>
      <c r="K17" s="29">
        <f>IFERROR(VLOOKUP($B17,자재리스트!$B$4:$M$92,9,FALSE),)</f>
        <v>532576</v>
      </c>
      <c r="L17" s="29">
        <f t="shared" si="0"/>
        <v>1597728</v>
      </c>
      <c r="M17" s="27" t="str">
        <f>IFERROR(VLOOKUP($B17,자재리스트!$B$4:$M$92,10,FALSE),)</f>
        <v>사이더스/e-con</v>
      </c>
      <c r="N17" s="27" t="str">
        <f>IFERROR(VLOOKUP($B17,자재리스트!$B$4:$M$92,11,FALSE),)</f>
        <v>거래명세서</v>
      </c>
      <c r="O17" s="27" t="str">
        <f>IFERROR(VLOOKUP($B17,자재리스트!$B$4:$M$92,12,FALSE),)</f>
        <v>w. GMSL cable</v>
      </c>
    </row>
    <row r="18" spans="1:15" ht="25.25" customHeight="1" x14ac:dyDescent="0.45">
      <c r="A18" s="26">
        <v>8</v>
      </c>
      <c r="B18" s="27" t="s">
        <v>68</v>
      </c>
      <c r="C18" s="28" t="str">
        <f>IFERROR(VLOOKUP($B18,자재리스트!$B$4:$M$92,2,FALSE),)</f>
        <v>IR camera</v>
      </c>
      <c r="D18" s="27"/>
      <c r="E18" s="27" t="str">
        <f>IFERROR(VLOOKUP($B18,자재리스트!$B$4:$M$92,4,FALSE),)</f>
        <v>열화상 카메라</v>
      </c>
      <c r="F18" s="27" t="str">
        <f>IFERROR(VLOOKUP($B18,자재리스트!$B$4:$M$92,5,FALSE),)</f>
        <v xml:space="preserve"> - </v>
      </c>
      <c r="G18" s="27" t="str">
        <f>IFERROR(VLOOKUP($B18,자재리스트!$B$4:$M$92,6,FALSE),)</f>
        <v>미국</v>
      </c>
      <c r="H18" s="27" t="str">
        <f>IFERROR(VLOOKUP($B18,자재리스트!$B$4:$M$92,7,FALSE),)</f>
        <v>개</v>
      </c>
      <c r="I18" s="29">
        <v>3</v>
      </c>
      <c r="J18" s="29" t="str">
        <f>IFERROR(VLOOKUP($B18,자재리스트!$B$4:$M$92,8,FALSE),)</f>
        <v>KRW</v>
      </c>
      <c r="K18" s="29">
        <f>IFERROR(VLOOKUP($B18,자재리스트!$B$4:$M$92,9,FALSE),)</f>
        <v>2487523</v>
      </c>
      <c r="L18" s="29">
        <f t="shared" si="0"/>
        <v>7462569</v>
      </c>
      <c r="M18" s="27" t="str">
        <f>IFERROR(VLOOKUP($B18,자재리스트!$B$4:$M$92,10,FALSE),)</f>
        <v>IRKEN/FLIR</v>
      </c>
      <c r="N18" s="27" t="str">
        <f>IFERROR(VLOOKUP($B18,자재리스트!$B$4:$M$92,11,FALSE),)</f>
        <v>거래명세서</v>
      </c>
      <c r="O18" s="27" t="str">
        <f>IFERROR(VLOOKUP($B18,자재리스트!$B$4:$M$92,12,FALSE),)</f>
        <v>w. VPC KIT</v>
      </c>
    </row>
    <row r="19" spans="1:15" ht="25.25" customHeight="1" x14ac:dyDescent="0.45">
      <c r="A19" s="26">
        <v>9</v>
      </c>
      <c r="B19" s="27" t="s">
        <v>69</v>
      </c>
      <c r="C19" s="28" t="str">
        <f>IFERROR(VLOOKUP($B19,자재리스트!$B$4:$M$92,2,FALSE),)</f>
        <v>IR camera window</v>
      </c>
      <c r="D19" s="27"/>
      <c r="E19" s="27" t="str">
        <f>IFERROR(VLOOKUP($B19,자재리스트!$B$4:$M$92,4,FALSE),)</f>
        <v>열화상 카메라 윈도우</v>
      </c>
      <c r="F19" s="27" t="str">
        <f>IFERROR(VLOOKUP($B19,자재리스트!$B$4:$M$92,5,FALSE),)</f>
        <v xml:space="preserve"> - </v>
      </c>
      <c r="G19" s="27" t="str">
        <f>IFERROR(VLOOKUP($B19,자재리스트!$B$4:$M$92,6,FALSE),)</f>
        <v>중국</v>
      </c>
      <c r="H19" s="27" t="str">
        <f>IFERROR(VLOOKUP($B19,자재리스트!$B$4:$M$92,7,FALSE),)</f>
        <v>개</v>
      </c>
      <c r="I19" s="29">
        <v>3</v>
      </c>
      <c r="J19" s="29" t="str">
        <f>IFERROR(VLOOKUP($B19,자재리스트!$B$4:$M$92,8,FALSE),)</f>
        <v>KRW</v>
      </c>
      <c r="K19" s="29">
        <f>IFERROR(VLOOKUP($B19,자재리스트!$B$4:$M$92,9,FALSE),)</f>
        <v>220965</v>
      </c>
      <c r="L19" s="29">
        <f t="shared" si="0"/>
        <v>662895</v>
      </c>
      <c r="M19" s="27" t="str">
        <f>IFERROR(VLOOKUP($B19,자재리스트!$B$4:$M$92,10,FALSE),)</f>
        <v>센서캠</v>
      </c>
      <c r="N19" s="27" t="str">
        <f>IFERROR(VLOOKUP($B19,자재리스트!$B$4:$M$92,11,FALSE),)</f>
        <v>거래명세서</v>
      </c>
      <c r="O19" s="27" t="str">
        <f>IFERROR(VLOOKUP($B19,자재리스트!$B$4:$M$92,12,FALSE),)</f>
        <v>1세대 용 (직경 42mm)</v>
      </c>
    </row>
    <row r="20" spans="1:15" ht="25.25" customHeight="1" x14ac:dyDescent="0.45">
      <c r="A20" s="26">
        <v>10</v>
      </c>
      <c r="B20" s="27" t="s">
        <v>70</v>
      </c>
      <c r="C20" s="28" t="str">
        <f>IFERROR(VLOOKUP($B20,자재리스트!$B$4:$M$92,2,FALSE),)</f>
        <v>NAS junction box</v>
      </c>
      <c r="D20" s="27"/>
      <c r="E20" s="27" t="str">
        <f>IFERROR(VLOOKUP($B20,자재리스트!$B$4:$M$92,4,FALSE),)</f>
        <v>정션박스</v>
      </c>
      <c r="F20" s="27" t="str">
        <f>IFERROR(VLOOKUP($B20,자재리스트!$B$4:$M$92,5,FALSE),)</f>
        <v xml:space="preserve"> - </v>
      </c>
      <c r="G20" s="27" t="str">
        <f>IFERROR(VLOOKUP($B20,자재리스트!$B$4:$M$92,6,FALSE),)</f>
        <v>한국</v>
      </c>
      <c r="H20" s="27" t="str">
        <f>IFERROR(VLOOKUP($B20,자재리스트!$B$4:$M$92,7,FALSE),)</f>
        <v>개</v>
      </c>
      <c r="I20" s="29">
        <v>1</v>
      </c>
      <c r="J20" s="29" t="str">
        <f>IFERROR(VLOOKUP($B20,자재리스트!$B$4:$M$92,8,FALSE),)</f>
        <v>KRW</v>
      </c>
      <c r="K20" s="29">
        <f>IFERROR(VLOOKUP($B20,자재리스트!$B$4:$M$92,9,FALSE),)</f>
        <v>1000000</v>
      </c>
      <c r="L20" s="29">
        <f t="shared" si="0"/>
        <v>1000000</v>
      </c>
      <c r="M20" s="27" t="str">
        <f>IFERROR(VLOOKUP($B20,자재리스트!$B$4:$M$92,10,FALSE),)</f>
        <v>MRC</v>
      </c>
      <c r="N20" s="27" t="str">
        <f>IFERROR(VLOOKUP($B20,자재리스트!$B$4:$M$92,11,FALSE),)</f>
        <v>거래명세서</v>
      </c>
      <c r="O20" s="27" t="str">
        <f>IFERROR(VLOOKUP($B20,자재리스트!$B$4:$M$92,12,FALSE),)</f>
        <v xml:space="preserve"> - </v>
      </c>
    </row>
    <row r="21" spans="1:15" ht="25.25" customHeight="1" x14ac:dyDescent="0.45">
      <c r="A21" s="26">
        <v>11</v>
      </c>
      <c r="B21" s="27" t="s">
        <v>71</v>
      </c>
      <c r="C21" s="28" t="str">
        <f>IFERROR(VLOOKUP($B21,자재리스트!$B$4:$M$92,2,FALSE),)</f>
        <v>Single Board Computer</v>
      </c>
      <c r="D21" s="27"/>
      <c r="E21" s="27" t="str">
        <f>IFERROR(VLOOKUP($B21,자재리스트!$B$4:$M$92,4,FALSE),)</f>
        <v>카메라와 서버 연동</v>
      </c>
      <c r="F21" s="27" t="str">
        <f>IFERROR(VLOOKUP($B21,자재리스트!$B$4:$M$92,5,FALSE),)</f>
        <v xml:space="preserve"> - </v>
      </c>
      <c r="G21" s="27" t="str">
        <f>IFERROR(VLOOKUP($B21,자재리스트!$B$4:$M$92,6,FALSE),)</f>
        <v>인도</v>
      </c>
      <c r="H21" s="27" t="str">
        <f>IFERROR(VLOOKUP($B21,자재리스트!$B$4:$M$92,7,FALSE),)</f>
        <v>개</v>
      </c>
      <c r="I21" s="29">
        <v>1</v>
      </c>
      <c r="J21" s="29" t="str">
        <f>IFERROR(VLOOKUP($B21,자재리스트!$B$4:$M$92,8,FALSE),)</f>
        <v>KRW</v>
      </c>
      <c r="K21" s="29">
        <f>IFERROR(VLOOKUP($B21,자재리스트!$B$4:$M$92,9,FALSE),)</f>
        <v>4508312</v>
      </c>
      <c r="L21" s="29">
        <f>I21*K21</f>
        <v>4508312</v>
      </c>
      <c r="M21" s="27" t="str">
        <f>IFERROR(VLOOKUP($B21,자재리스트!$B$4:$M$92,10,FALSE),)</f>
        <v>사이더스/e-con</v>
      </c>
      <c r="N21" s="27" t="str">
        <f>IFERROR(VLOOKUP($B21,자재리스트!$B$4:$M$92,11,FALSE),)</f>
        <v>거래명세서</v>
      </c>
      <c r="O21" s="27" t="str">
        <f>IFERROR(VLOOKUP($B21,자재리스트!$B$4:$M$92,12,FALSE),)</f>
        <v xml:space="preserve"> - </v>
      </c>
    </row>
    <row r="22" spans="1:15" ht="25.25" customHeight="1" x14ac:dyDescent="0.45">
      <c r="A22" s="26">
        <v>12</v>
      </c>
      <c r="B22" s="27" t="s">
        <v>83</v>
      </c>
      <c r="C22" s="28" t="str">
        <f>IFERROR(VLOOKUP($B22,자재리스트!$B$4:$M$92,2,FALSE),)</f>
        <v>SMPS</v>
      </c>
      <c r="D22" s="27"/>
      <c r="E22" s="27" t="str">
        <f>IFERROR(VLOOKUP($B22,자재리스트!$B$4:$M$92,4,FALSE),)</f>
        <v>Single Board Computer  전원 공급</v>
      </c>
      <c r="F22" s="27" t="str">
        <f>IFERROR(VLOOKUP($B22,자재리스트!$B$4:$M$92,5,FALSE),)</f>
        <v xml:space="preserve"> - </v>
      </c>
      <c r="G22" s="27" t="str">
        <f>IFERROR(VLOOKUP($B22,자재리스트!$B$4:$M$92,6,FALSE),)</f>
        <v>한국</v>
      </c>
      <c r="H22" s="27" t="str">
        <f>IFERROR(VLOOKUP($B22,자재리스트!$B$4:$M$92,7,FALSE),)</f>
        <v>개</v>
      </c>
      <c r="I22" s="29">
        <v>1</v>
      </c>
      <c r="J22" s="29" t="str">
        <f>IFERROR(VLOOKUP($B22,자재리스트!$B$4:$M$92,8,FALSE),)</f>
        <v>KRW</v>
      </c>
      <c r="K22" s="29">
        <f>IFERROR(VLOOKUP($B22,자재리스트!$B$4:$M$92,9,FALSE),)</f>
        <v>150000</v>
      </c>
      <c r="L22" s="29">
        <f t="shared" ref="L22:L23" si="1">I22*K22</f>
        <v>150000</v>
      </c>
      <c r="M22" s="27" t="str">
        <f>IFERROR(VLOOKUP($B22,자재리스트!$B$4:$M$92,10,FALSE),)</f>
        <v>파워캅</v>
      </c>
      <c r="N22" s="27" t="str">
        <f>IFERROR(VLOOKUP($B22,자재리스트!$B$4:$M$92,11,FALSE),)</f>
        <v>거래명세서</v>
      </c>
      <c r="O22" s="27" t="str">
        <f>IFERROR(VLOOKUP($B22,자재리스트!$B$4:$M$92,12,FALSE),)</f>
        <v xml:space="preserve"> - </v>
      </c>
    </row>
    <row r="23" spans="1:15" ht="25.25" customHeight="1" x14ac:dyDescent="0.45">
      <c r="A23" s="26">
        <v>13</v>
      </c>
      <c r="B23" s="27" t="s">
        <v>84</v>
      </c>
      <c r="C23" s="28" t="str">
        <f>IFERROR(VLOOKUP($B23,자재리스트!$B$4:$M$92,2,FALSE),)</f>
        <v>EMI/EMC filter</v>
      </c>
      <c r="D23" s="27"/>
      <c r="E23" s="27" t="str">
        <f>IFERROR(VLOOKUP($B23,자재리스트!$B$4:$M$92,4,FALSE),)</f>
        <v>정션박스 전자파 차폐용</v>
      </c>
      <c r="F23" s="27" t="str">
        <f>IFERROR(VLOOKUP($B23,자재리스트!$B$4:$M$92,5,FALSE),)</f>
        <v xml:space="preserve"> - </v>
      </c>
      <c r="G23" s="27" t="str">
        <f>IFERROR(VLOOKUP($B23,자재리스트!$B$4:$M$92,6,FALSE),)</f>
        <v>한국</v>
      </c>
      <c r="H23" s="27" t="str">
        <f>IFERROR(VLOOKUP($B23,자재리스트!$B$4:$M$92,7,FALSE),)</f>
        <v>개</v>
      </c>
      <c r="I23" s="29">
        <v>1</v>
      </c>
      <c r="J23" s="29" t="str">
        <f>IFERROR(VLOOKUP($B23,자재리스트!$B$4:$M$92,8,FALSE),)</f>
        <v>KRW</v>
      </c>
      <c r="K23" s="29">
        <f>IFERROR(VLOOKUP($B23,자재리스트!$B$4:$M$92,9,FALSE),)</f>
        <v>77000</v>
      </c>
      <c r="L23" s="29">
        <f t="shared" si="1"/>
        <v>77000</v>
      </c>
      <c r="M23" s="27" t="str">
        <f>IFERROR(VLOOKUP($B23,자재리스트!$B$4:$M$92,10,FALSE),)</f>
        <v>오키</v>
      </c>
      <c r="N23" s="27" t="str">
        <f>IFERROR(VLOOKUP($B23,자재리스트!$B$4:$M$92,11,FALSE),)</f>
        <v>거래명세서</v>
      </c>
      <c r="O23" s="27" t="str">
        <f>IFERROR(VLOOKUP($B23,자재리스트!$B$4:$M$92,12,FALSE),)</f>
        <v xml:space="preserve"> - </v>
      </c>
    </row>
    <row r="24" spans="1:15" ht="25.25" customHeight="1" x14ac:dyDescent="0.45">
      <c r="A24" s="26">
        <v>14</v>
      </c>
      <c r="B24" s="27" t="s">
        <v>75</v>
      </c>
      <c r="C24" s="28" t="str">
        <f>IFERROR(VLOOKUP($B24,자재리스트!$B$4:$M$92,2,FALSE),)</f>
        <v>UPS</v>
      </c>
      <c r="D24" s="27"/>
      <c r="E24" s="27" t="str">
        <f>IFERROR(VLOOKUP($B24,자재리스트!$B$4:$M$92,4,FALSE),)</f>
        <v>1kVA, 무정전 전원 공급, Stand type</v>
      </c>
      <c r="F24" s="27" t="str">
        <f>IFERROR(VLOOKUP($B24,자재리스트!$B$4:$M$92,5,FALSE),)</f>
        <v xml:space="preserve"> - </v>
      </c>
      <c r="G24" s="27" t="str">
        <f>IFERROR(VLOOKUP($B24,자재리스트!$B$4:$M$92,6,FALSE),)</f>
        <v>한국</v>
      </c>
      <c r="H24" s="27" t="str">
        <f>IFERROR(VLOOKUP($B24,자재리스트!$B$4:$M$92,7,FALSE),)</f>
        <v>개</v>
      </c>
      <c r="I24" s="29">
        <v>1</v>
      </c>
      <c r="J24" s="29" t="str">
        <f>IFERROR(VLOOKUP($B24,자재리스트!$B$4:$M$92,8,FALSE),)</f>
        <v>KRW</v>
      </c>
      <c r="K24" s="29">
        <f>IFERROR(VLOOKUP($B24,자재리스트!$B$4:$M$92,9,FALSE),)</f>
        <v>1325500</v>
      </c>
      <c r="L24" s="29">
        <f t="shared" si="0"/>
        <v>1325500</v>
      </c>
      <c r="M24" s="27" t="str">
        <f>IFERROR(VLOOKUP($B24,자재리스트!$B$4:$M$92,10,FALSE),)</f>
        <v>기호티이에스</v>
      </c>
      <c r="N24" s="27" t="str">
        <f>IFERROR(VLOOKUP($B24,자재리스트!$B$4:$M$92,11,FALSE),)</f>
        <v>거래명세서</v>
      </c>
      <c r="O24" s="27" t="str">
        <f>IFERROR(VLOOKUP($B24,자재리스트!$B$4:$M$92,12,FALSE),)</f>
        <v>마린필터, network card, 케이블 포함</v>
      </c>
    </row>
    <row r="25" spans="1:15" ht="25.25" customHeight="1" x14ac:dyDescent="0.45">
      <c r="A25" s="26">
        <v>15</v>
      </c>
      <c r="B25" s="27" t="s">
        <v>76</v>
      </c>
      <c r="C25" s="28" t="str">
        <f>IFERROR(VLOOKUP($B25,자재리스트!$B$4:$M$92,2,FALSE),)</f>
        <v>멀티탭</v>
      </c>
      <c r="D25" s="27"/>
      <c r="E25" s="27" t="str">
        <f>IFERROR(VLOOKUP($B25,자재리스트!$B$4:$M$92,4,FALSE),)</f>
        <v>UPS용</v>
      </c>
      <c r="F25" s="27" t="str">
        <f>IFERROR(VLOOKUP($B25,자재리스트!$B$4:$M$92,5,FALSE),)</f>
        <v xml:space="preserve"> - </v>
      </c>
      <c r="G25" s="27" t="str">
        <f>IFERROR(VLOOKUP($B25,자재리스트!$B$4:$M$92,6,FALSE),)</f>
        <v>한국</v>
      </c>
      <c r="H25" s="27" t="str">
        <f>IFERROR(VLOOKUP($B25,자재리스트!$B$4:$M$92,7,FALSE),)</f>
        <v>개</v>
      </c>
      <c r="I25" s="29">
        <v>2</v>
      </c>
      <c r="J25" s="29" t="str">
        <f>IFERROR(VLOOKUP($B25,자재리스트!$B$4:$M$92,8,FALSE),)</f>
        <v>KRW</v>
      </c>
      <c r="K25" s="29">
        <f>IFERROR(VLOOKUP($B25,자재리스트!$B$4:$M$92,9,FALSE),)</f>
        <v>10800</v>
      </c>
      <c r="L25" s="29">
        <f t="shared" si="0"/>
        <v>21600</v>
      </c>
      <c r="M25" s="27" t="str">
        <f>IFERROR(VLOOKUP($B25,자재리스트!$B$4:$M$92,10,FALSE),)</f>
        <v>쿠팡</v>
      </c>
      <c r="N25" s="27" t="str">
        <f>IFERROR(VLOOKUP($B25,자재리스트!$B$4:$M$92,11,FALSE),)</f>
        <v>거래명세서</v>
      </c>
      <c r="O25" s="27" t="str">
        <f>IFERROR(VLOOKUP($B25,자재리스트!$B$4:$M$92,12,FALSE),)</f>
        <v xml:space="preserve"> - </v>
      </c>
    </row>
    <row r="26" spans="1:15" ht="25.25" customHeight="1" x14ac:dyDescent="0.45">
      <c r="A26" s="26">
        <v>16</v>
      </c>
      <c r="B26" s="27" t="s">
        <v>77</v>
      </c>
      <c r="C26" s="28" t="str">
        <f>IFERROR(VLOOKUP($B26,자재리스트!$B$4:$M$92,2,FALSE),)</f>
        <v>C13-C14(MALE)</v>
      </c>
      <c r="D26" s="27"/>
      <c r="E26" s="27" t="str">
        <f>IFERROR(VLOOKUP($B26,자재리스트!$B$4:$M$92,4,FALSE),)</f>
        <v>UPS용</v>
      </c>
      <c r="F26" s="27" t="str">
        <f>IFERROR(VLOOKUP($B26,자재리스트!$B$4:$M$92,5,FALSE),)</f>
        <v xml:space="preserve"> - </v>
      </c>
      <c r="G26" s="27" t="str">
        <f>IFERROR(VLOOKUP($B26,자재리스트!$B$4:$M$92,6,FALSE),)</f>
        <v>한국</v>
      </c>
      <c r="H26" s="27" t="str">
        <f>IFERROR(VLOOKUP($B26,자재리스트!$B$4:$M$92,7,FALSE),)</f>
        <v>개</v>
      </c>
      <c r="I26" s="29">
        <v>3</v>
      </c>
      <c r="J26" s="29" t="str">
        <f>IFERROR(VLOOKUP($B26,자재리스트!$B$4:$M$92,8,FALSE),)</f>
        <v>KRW</v>
      </c>
      <c r="K26" s="29">
        <f>IFERROR(VLOOKUP($B26,자재리스트!$B$4:$M$92,9,FALSE),)</f>
        <v>9900</v>
      </c>
      <c r="L26" s="29">
        <f t="shared" si="0"/>
        <v>29700</v>
      </c>
      <c r="M26" s="27" t="str">
        <f>IFERROR(VLOOKUP($B26,자재리스트!$B$4:$M$92,10,FALSE),)</f>
        <v>한주전자</v>
      </c>
      <c r="N26" s="27" t="str">
        <f>IFERROR(VLOOKUP($B26,자재리스트!$B$4:$M$92,11,FALSE),)</f>
        <v>거래명세서</v>
      </c>
      <c r="O26" s="27" t="str">
        <f>IFERROR(VLOOKUP($B26,자재리스트!$B$4:$M$92,12,FALSE),)</f>
        <v xml:space="preserve"> - </v>
      </c>
    </row>
    <row r="28" spans="1:15" ht="17.5" x14ac:dyDescent="0.45">
      <c r="C28" s="116" t="s">
        <v>78</v>
      </c>
      <c r="D28" s="116"/>
      <c r="E28" s="116"/>
      <c r="F28" s="116"/>
      <c r="G28" s="116"/>
      <c r="H28" s="116"/>
      <c r="I28" s="116"/>
      <c r="J28" s="116"/>
      <c r="K28" s="116"/>
      <c r="L28" s="116"/>
      <c r="M28" s="116"/>
      <c r="N28" s="116"/>
      <c r="O28" s="116"/>
    </row>
    <row r="29" spans="1:15" ht="17.5" x14ac:dyDescent="0.45">
      <c r="C29" s="116" t="s">
        <v>79</v>
      </c>
      <c r="D29" s="116"/>
      <c r="E29" s="116"/>
      <c r="F29" s="116"/>
      <c r="G29" s="116"/>
      <c r="H29" s="116"/>
      <c r="I29" s="116"/>
      <c r="J29" s="116"/>
      <c r="K29" s="116"/>
      <c r="L29" s="116"/>
      <c r="M29" s="116"/>
      <c r="N29" s="116"/>
      <c r="O29" s="116"/>
    </row>
  </sheetData>
  <mergeCells count="4">
    <mergeCell ref="A2:O2"/>
    <mergeCell ref="C10:D10"/>
    <mergeCell ref="C28:O28"/>
    <mergeCell ref="C29:O29"/>
  </mergeCells>
  <phoneticPr fontId="3" type="noConversion"/>
  <printOptions horizontalCentered="1"/>
  <pageMargins left="0.70866141732283472" right="0.70866141732283472" top="0.74803149606299213" bottom="0.74803149606299213" header="0.31496062992125984" footer="0.31496062992125984"/>
  <pageSetup paperSize="9" scale="70" fitToHeight="0" orientation="landscape" r:id="rId1"/>
  <headerFooter>
    <oddFooter>&amp;L_x000D_&amp;1#&amp;"Calibri"&amp;9&amp;K000000 Confidential | AVIKUS – Unauthorized distribution is strictly prohibited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D542-70FF-4283-9462-C2268F1AC745}">
  <sheetPr>
    <tabColor rgb="FFFF0000"/>
    <pageSetUpPr fitToPage="1"/>
  </sheetPr>
  <dimension ref="A2:S35"/>
  <sheetViews>
    <sheetView showGridLines="0" view="pageBreakPreview" topLeftCell="A7" zoomScale="85" zoomScaleNormal="100" zoomScaleSheetLayoutView="85"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2" spans="1:19" ht="30" x14ac:dyDescent="0.45">
      <c r="A2" s="113" t="s">
        <v>38</v>
      </c>
      <c r="B2" s="113"/>
      <c r="C2" s="113"/>
      <c r="D2" s="113"/>
      <c r="E2" s="113"/>
      <c r="F2" s="113"/>
      <c r="G2" s="113"/>
      <c r="H2" s="113"/>
      <c r="I2" s="113"/>
      <c r="J2" s="113"/>
      <c r="K2" s="113"/>
      <c r="L2" s="113"/>
      <c r="M2" s="113"/>
      <c r="N2" s="113"/>
      <c r="O2" s="113"/>
    </row>
    <row r="3" spans="1:19" x14ac:dyDescent="0.45">
      <c r="C3" s="16" t="s">
        <v>39</v>
      </c>
    </row>
    <row r="4" spans="1:19" ht="21" customHeight="1" x14ac:dyDescent="0.45">
      <c r="A4" s="18" t="s">
        <v>40</v>
      </c>
      <c r="B4" s="19"/>
      <c r="C4" s="19" t="s">
        <v>41</v>
      </c>
      <c r="D4" s="20" t="s">
        <v>35</v>
      </c>
      <c r="E4" s="21"/>
      <c r="F4" s="21"/>
      <c r="G4" s="21"/>
      <c r="H4" s="21"/>
      <c r="I4" s="21"/>
      <c r="J4" s="21"/>
      <c r="K4" s="21"/>
      <c r="L4" s="21"/>
      <c r="M4" s="21"/>
      <c r="N4" s="21"/>
      <c r="O4" s="21"/>
    </row>
    <row r="5" spans="1:19" ht="21" customHeight="1" x14ac:dyDescent="0.45">
      <c r="A5" s="21" t="s">
        <v>43</v>
      </c>
      <c r="C5" s="16" t="s">
        <v>41</v>
      </c>
      <c r="E5" s="21"/>
      <c r="F5" s="21"/>
      <c r="G5" s="21"/>
      <c r="H5" s="21"/>
      <c r="I5" s="21"/>
      <c r="J5" s="21"/>
      <c r="K5" s="21"/>
      <c r="L5" s="21"/>
      <c r="M5" s="21"/>
      <c r="N5" s="21"/>
      <c r="O5" s="21"/>
    </row>
    <row r="6" spans="1:19" ht="21" customHeight="1" x14ac:dyDescent="0.45">
      <c r="A6" s="21" t="s">
        <v>44</v>
      </c>
      <c r="C6" s="16" t="s">
        <v>41</v>
      </c>
      <c r="E6" s="21"/>
      <c r="F6" s="21"/>
      <c r="G6" s="21"/>
      <c r="H6" s="21"/>
      <c r="I6" s="21"/>
      <c r="J6" s="21"/>
      <c r="K6" s="21"/>
      <c r="L6" s="21"/>
      <c r="M6" s="21"/>
      <c r="N6" s="21"/>
      <c r="O6" s="21"/>
    </row>
    <row r="7" spans="1:19" ht="21" customHeight="1" x14ac:dyDescent="0.45">
      <c r="A7" s="21" t="s">
        <v>45</v>
      </c>
      <c r="C7" s="16" t="s">
        <v>41</v>
      </c>
      <c r="E7" s="21"/>
      <c r="F7" s="21" t="s">
        <v>39</v>
      </c>
      <c r="G7" s="21"/>
      <c r="H7" s="21"/>
      <c r="I7" s="21"/>
      <c r="J7" s="21"/>
      <c r="K7" s="21"/>
      <c r="L7" s="21"/>
      <c r="M7" s="21"/>
      <c r="N7" s="21"/>
      <c r="O7" s="21"/>
    </row>
    <row r="8" spans="1:19" ht="21" customHeight="1" x14ac:dyDescent="0.45">
      <c r="A8" s="21" t="s">
        <v>46</v>
      </c>
      <c r="E8" s="21"/>
      <c r="F8" s="21"/>
      <c r="G8" s="21"/>
      <c r="H8" s="21"/>
      <c r="I8" s="21"/>
      <c r="J8" s="21"/>
      <c r="K8" s="21"/>
      <c r="L8" s="21"/>
      <c r="M8" s="21"/>
      <c r="N8" s="21"/>
      <c r="O8" s="21"/>
    </row>
    <row r="9" spans="1:19" ht="6" customHeight="1" x14ac:dyDescent="0.45"/>
    <row r="10" spans="1:19" ht="34" x14ac:dyDescent="0.45">
      <c r="A10" s="23" t="s">
        <v>47</v>
      </c>
      <c r="B10" s="24" t="s">
        <v>48</v>
      </c>
      <c r="C10" s="114" t="s">
        <v>49</v>
      </c>
      <c r="D10" s="115"/>
      <c r="E10" s="24" t="s">
        <v>50</v>
      </c>
      <c r="F10" s="25" t="s">
        <v>51</v>
      </c>
      <c r="G10" s="24" t="s">
        <v>52</v>
      </c>
      <c r="H10" s="24" t="s">
        <v>53</v>
      </c>
      <c r="I10" s="24" t="s">
        <v>54</v>
      </c>
      <c r="J10" s="24" t="s">
        <v>55</v>
      </c>
      <c r="K10" s="24" t="s">
        <v>57</v>
      </c>
      <c r="L10" s="24" t="s">
        <v>58</v>
      </c>
      <c r="M10" s="24" t="s">
        <v>60</v>
      </c>
      <c r="N10" s="24" t="s">
        <v>61</v>
      </c>
      <c r="O10" s="24" t="s">
        <v>62</v>
      </c>
    </row>
    <row r="11" spans="1:19" ht="25.25" customHeight="1" x14ac:dyDescent="0.45">
      <c r="A11" s="26">
        <v>1</v>
      </c>
      <c r="B11" s="27" t="s">
        <v>81</v>
      </c>
      <c r="C11" s="28" t="str">
        <f>IFERROR(VLOOKUP($B11,자재리스트!$B$4:$M$92,2,FALSE),)</f>
        <v>Monitor</v>
      </c>
      <c r="D11" s="27"/>
      <c r="E11" s="27" t="str">
        <f>IFERROR(VLOOKUP($B11,자재리스트!$B$4:$M$92,4,FALSE),)</f>
        <v>DOM 58.4인치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6540000</v>
      </c>
      <c r="L11" s="29">
        <f>I11*K11</f>
        <v>6540000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9" ht="25.25" customHeight="1" x14ac:dyDescent="0.45">
      <c r="A12" s="26">
        <v>2</v>
      </c>
      <c r="B12" s="27" t="s">
        <v>85</v>
      </c>
      <c r="C12" s="28" t="str">
        <f>IFERROR(VLOOKUP($B12,자재리스트!$B$4:$M$92,2,FALSE),)</f>
        <v>Monitor</v>
      </c>
      <c r="D12" s="27"/>
      <c r="E12" s="27" t="str">
        <f>IFERROR(VLOOKUP($B12,자재리스트!$B$4:$M$92,4,FALSE),)</f>
        <v>32인치 모니터</v>
      </c>
      <c r="F12" s="27" t="str">
        <f>IFERROR(VLOOKUP($B12,자재리스트!$B$4:$M$92,5,FALSE),)</f>
        <v xml:space="preserve"> - </v>
      </c>
      <c r="G12" s="27" t="str">
        <f>IFERROR(VLOOKUP($B12,자재리스트!$B$4:$M$92,6,FALSE),)</f>
        <v>한국</v>
      </c>
      <c r="H12" s="27" t="str">
        <f>IFERROR(VLOOKUP($B12,자재리스트!$B$4:$M$92,7,FALSE),)</f>
        <v>개</v>
      </c>
      <c r="I12" s="29">
        <v>1</v>
      </c>
      <c r="J12" s="29" t="str">
        <f>IFERROR(VLOOKUP($B12,자재리스트!$B$4:$M$92,8,FALSE),)</f>
        <v>KRW</v>
      </c>
      <c r="K12" s="29">
        <f>IFERROR(VLOOKUP($B12,자재리스트!$B$4:$M$92,9,FALSE),)</f>
        <v>4480000</v>
      </c>
      <c r="L12" s="29">
        <f t="shared" ref="L12:L32" si="0">I12*K12</f>
        <v>4480000</v>
      </c>
      <c r="M12" s="27" t="str">
        <f>IFERROR(VLOOKUP($B12,자재리스트!$B$4:$M$92,10,FALSE),)</f>
        <v>MRC/테트라다인</v>
      </c>
      <c r="N12" s="27" t="str">
        <f>IFERROR(VLOOKUP($B12,자재리스트!$B$4:$M$92,11,FALSE),)</f>
        <v>거래명세서</v>
      </c>
      <c r="O12" s="27" t="str">
        <f>IFERROR(VLOOKUP($B12,자재리스트!$B$4:$M$92,12,FALSE),)</f>
        <v>RCU, RCU cable, RS485 cable, bracket 포함</v>
      </c>
      <c r="P12" s="30"/>
    </row>
    <row r="13" spans="1:19" ht="25.25" customHeight="1" x14ac:dyDescent="0.45">
      <c r="A13" s="26">
        <v>3</v>
      </c>
      <c r="B13" s="27" t="s">
        <v>64</v>
      </c>
      <c r="C13" s="28" t="str">
        <f>IFERROR(VLOOKUP($B13,자재리스트!$B$4:$M$92,2,FALSE),)</f>
        <v>Server</v>
      </c>
      <c r="D13" s="27"/>
      <c r="E13" s="27" t="str">
        <f>IFERROR(VLOOKUP($B13,자재리스트!$B$4:$M$92,4,FALSE),)</f>
        <v>메인 서버</v>
      </c>
      <c r="F13" s="27" t="str">
        <f>IFERROR(VLOOKUP($B13,자재리스트!$B$4:$M$92,5,FALSE),)</f>
        <v xml:space="preserve"> - </v>
      </c>
      <c r="G13" s="27" t="str">
        <f>IFERROR(VLOOKUP($B13,자재리스트!$B$4:$M$92,6,FALSE),)</f>
        <v>중국</v>
      </c>
      <c r="H13" s="27" t="str">
        <f>IFERROR(VLOOKUP($B13,자재리스트!$B$4:$M$92,7,FALSE),)</f>
        <v>개</v>
      </c>
      <c r="I13" s="29">
        <v>2</v>
      </c>
      <c r="J13" s="29" t="str">
        <f>IFERROR(VLOOKUP($B13,자재리스트!$B$4:$M$92,8,FALSE),)</f>
        <v>KRW</v>
      </c>
      <c r="K13" s="29">
        <f>IFERROR(VLOOKUP($B13,자재리스트!$B$4:$M$92,9,FALSE),)</f>
        <v>3320000</v>
      </c>
      <c r="L13" s="29">
        <f t="shared" si="0"/>
        <v>6640000</v>
      </c>
      <c r="M13" s="27" t="str">
        <f>IFERROR(VLOOKUP($B13,자재리스트!$B$4:$M$92,10,FALSE),)</f>
        <v>테트라다인</v>
      </c>
      <c r="N13" s="27" t="str">
        <f>IFERROR(VLOOKUP($B13,자재리스트!$B$4:$M$92,11,FALSE),)</f>
        <v>거래명세서</v>
      </c>
      <c r="O13" s="27" t="str">
        <f>IFERROR(VLOOKUP($B13,자재리스트!$B$4:$M$92,12,FALSE),)</f>
        <v xml:space="preserve"> - </v>
      </c>
      <c r="S13" s="16">
        <v>2800000</v>
      </c>
    </row>
    <row r="14" spans="1:19" ht="25.25" customHeight="1" x14ac:dyDescent="0.45">
      <c r="A14" s="26">
        <v>4</v>
      </c>
      <c r="B14" s="27" t="s">
        <v>86</v>
      </c>
      <c r="C14" s="28" t="str">
        <f>IFERROR(VLOOKUP($B14,자재리스트!$B$4:$M$92,2,FALSE),)</f>
        <v>Client</v>
      </c>
      <c r="D14" s="27"/>
      <c r="E14" s="27" t="str">
        <f>IFERROR(VLOOKUP($B14,자재리스트!$B$4:$M$92,4,FALSE),)</f>
        <v>클라이언트 서버</v>
      </c>
      <c r="F14" s="27" t="str">
        <f>IFERROR(VLOOKUP($B14,자재리스트!$B$4:$M$92,5,FALSE),)</f>
        <v xml:space="preserve"> - </v>
      </c>
      <c r="G14" s="27" t="str">
        <f>IFERROR(VLOOKUP($B14,자재리스트!$B$4:$M$92,6,FALSE),)</f>
        <v>중국</v>
      </c>
      <c r="H14" s="27" t="str">
        <f>IFERROR(VLOOKUP($B14,자재리스트!$B$4:$M$92,7,FALSE),)</f>
        <v>개</v>
      </c>
      <c r="I14" s="29">
        <v>2</v>
      </c>
      <c r="J14" s="29" t="str">
        <f>IFERROR(VLOOKUP($B14,자재리스트!$B$4:$M$92,8,FALSE),)</f>
        <v>KRW</v>
      </c>
      <c r="K14" s="29">
        <f>IFERROR(VLOOKUP($B14,자재리스트!$B$4:$M$92,9,FALSE),)</f>
        <v>1820000</v>
      </c>
      <c r="L14" s="29">
        <f t="shared" si="0"/>
        <v>3640000</v>
      </c>
      <c r="M14" s="27" t="str">
        <f>IFERROR(VLOOKUP($B14,자재리스트!$B$4:$M$92,10,FALSE),)</f>
        <v>테트라다인</v>
      </c>
      <c r="N14" s="27" t="str">
        <f>IFERROR(VLOOKUP($B14,자재리스트!$B$4:$M$92,11,FALSE),)</f>
        <v>거래명세서</v>
      </c>
      <c r="O14" s="27" t="str">
        <f>IFERROR(VLOOKUP($B14,자재리스트!$B$4:$M$92,12,FALSE),)</f>
        <v xml:space="preserve"> - </v>
      </c>
      <c r="S14" s="16">
        <v>1695000</v>
      </c>
    </row>
    <row r="15" spans="1:19" ht="25.25" customHeight="1" x14ac:dyDescent="0.45">
      <c r="A15" s="26">
        <v>5</v>
      </c>
      <c r="B15" s="27" t="s">
        <v>87</v>
      </c>
      <c r="C15" s="28" t="str">
        <f>IFERROR(VLOOKUP($B15,자재리스트!$B$4:$M$92,2,FALSE),)</f>
        <v>Keyboard with trackball</v>
      </c>
      <c r="D15" s="27"/>
      <c r="E15" s="27" t="str">
        <f>IFERROR(VLOOKUP($B15,자재리스트!$B$4:$M$92,4,FALSE),)</f>
        <v>선급인증품</v>
      </c>
      <c r="F15" s="27" t="str">
        <f>IFERROR(VLOOKUP($B15,자재리스트!$B$4:$M$92,5,FALSE),)</f>
        <v xml:space="preserve"> - </v>
      </c>
      <c r="G15" s="27" t="str">
        <f>IFERROR(VLOOKUP($B15,자재리스트!$B$4:$M$92,6,FALSE),)</f>
        <v>한국</v>
      </c>
      <c r="H15" s="27" t="str">
        <f>IFERROR(VLOOKUP($B15,자재리스트!$B$4:$M$92,7,FALSE),)</f>
        <v>세트</v>
      </c>
      <c r="I15" s="29">
        <v>2</v>
      </c>
      <c r="J15" s="29" t="str">
        <f>IFERROR(VLOOKUP($B15,자재리스트!$B$4:$M$92,8,FALSE),)</f>
        <v>KRW</v>
      </c>
      <c r="K15" s="29">
        <f>IFERROR(VLOOKUP($B15,자재리스트!$B$4:$M$92,9,FALSE),)</f>
        <v>1200000</v>
      </c>
      <c r="L15" s="29">
        <f>I15*K15</f>
        <v>2400000</v>
      </c>
      <c r="M15" s="27" t="str">
        <f>IFERROR(VLOOKUP($B15,자재리스트!$B$4:$M$92,10,FALSE),)</f>
        <v>피앤피컴포넌츠</v>
      </c>
      <c r="N15" s="27" t="str">
        <f>IFERROR(VLOOKUP($B15,자재리스트!$B$4:$M$92,11,FALSE),)</f>
        <v>거래명세서</v>
      </c>
      <c r="O15" s="27" t="str">
        <f>IFERROR(VLOOKUP($B15,자재리스트!$B$4:$M$92,12,FALSE),)</f>
        <v>panel mount / flush type</v>
      </c>
      <c r="S15" s="16">
        <v>1100000</v>
      </c>
    </row>
    <row r="16" spans="1:19" ht="25.25" customHeight="1" x14ac:dyDescent="0.45">
      <c r="A16" s="26">
        <v>6</v>
      </c>
      <c r="B16" s="27" t="s">
        <v>66</v>
      </c>
      <c r="C16" s="28" t="str">
        <f>IFERROR(VLOOKUP($B16,자재리스트!$B$4:$M$92,2,FALSE),)</f>
        <v>NAS camera housing</v>
      </c>
      <c r="D16" s="27"/>
      <c r="E16" s="27" t="str">
        <f>IFERROR(VLOOKUP($B16,자재리스트!$B$4:$M$92,4,FALSE),)</f>
        <v>하우징</v>
      </c>
      <c r="F16" s="27" t="str">
        <f>IFERROR(VLOOKUP($B16,자재리스트!$B$4:$M$92,5,FALSE),)</f>
        <v xml:space="preserve"> - </v>
      </c>
      <c r="G16" s="27" t="str">
        <f>IFERROR(VLOOKUP($B16,자재리스트!$B$4:$M$92,6,FALSE),)</f>
        <v>한국</v>
      </c>
      <c r="H16" s="27" t="str">
        <f>IFERROR(VLOOKUP($B16,자재리스트!$B$4:$M$92,7,FALSE),)</f>
        <v>개</v>
      </c>
      <c r="I16" s="29">
        <v>1</v>
      </c>
      <c r="J16" s="29" t="str">
        <f>IFERROR(VLOOKUP($B16,자재리스트!$B$4:$M$92,8,FALSE),)</f>
        <v>KRW</v>
      </c>
      <c r="K16" s="29">
        <f>IFERROR(VLOOKUP($B16,자재리스트!$B$4:$M$92,9,FALSE),)</f>
        <v>4300000</v>
      </c>
      <c r="L16" s="29">
        <f>I16*K16</f>
        <v>4300000</v>
      </c>
      <c r="M16" s="27" t="str">
        <f>IFERROR(VLOOKUP($B16,자재리스트!$B$4:$M$92,10,FALSE),)</f>
        <v>MRC</v>
      </c>
      <c r="N16" s="27" t="str">
        <f>IFERROR(VLOOKUP($B16,자재리스트!$B$4:$M$92,11,FALSE),)</f>
        <v>거래명세서</v>
      </c>
      <c r="O16" s="27" t="str">
        <f>IFERROR(VLOOKUP($B16,자재리스트!$B$4:$M$92,12,FALSE),)</f>
        <v xml:space="preserve"> - </v>
      </c>
      <c r="S16" s="16">
        <f>1082333+4000000</f>
        <v>5082333</v>
      </c>
    </row>
    <row r="17" spans="1:19" ht="25.25" customHeight="1" x14ac:dyDescent="0.45">
      <c r="A17" s="26">
        <v>7</v>
      </c>
      <c r="B17" s="27" t="s">
        <v>67</v>
      </c>
      <c r="C17" s="28" t="str">
        <f>IFERROR(VLOOKUP($B17,자재리스트!$B$4:$M$92,2,FALSE),)</f>
        <v>EO Camera</v>
      </c>
      <c r="D17" s="27"/>
      <c r="E17" s="27" t="str">
        <f>IFERROR(VLOOKUP($B17,자재리스트!$B$4:$M$92,4,FALSE),)</f>
        <v>광학 카메라(4K)</v>
      </c>
      <c r="F17" s="27" t="str">
        <f>IFERROR(VLOOKUP($B17,자재리스트!$B$4:$M$92,5,FALSE),)</f>
        <v xml:space="preserve"> - </v>
      </c>
      <c r="G17" s="27" t="str">
        <f>IFERROR(VLOOKUP($B17,자재리스트!$B$4:$M$92,6,FALSE),)</f>
        <v>인도</v>
      </c>
      <c r="H17" s="27" t="str">
        <f>IFERROR(VLOOKUP($B17,자재리스트!$B$4:$M$92,7,FALSE),)</f>
        <v>개</v>
      </c>
      <c r="I17" s="29">
        <v>3</v>
      </c>
      <c r="J17" s="29" t="str">
        <f>IFERROR(VLOOKUP($B17,자재리스트!$B$4:$M$92,8,FALSE),)</f>
        <v>KRW</v>
      </c>
      <c r="K17" s="29">
        <f>IFERROR(VLOOKUP($B17,자재리스트!$B$4:$M$92,9,FALSE),)</f>
        <v>532576</v>
      </c>
      <c r="L17" s="29">
        <f t="shared" si="0"/>
        <v>1597728</v>
      </c>
      <c r="M17" s="27" t="str">
        <f>IFERROR(VLOOKUP($B17,자재리스트!$B$4:$M$92,10,FALSE),)</f>
        <v>사이더스/e-con</v>
      </c>
      <c r="N17" s="27" t="str">
        <f>IFERROR(VLOOKUP($B17,자재리스트!$B$4:$M$92,11,FALSE),)</f>
        <v>거래명세서</v>
      </c>
      <c r="O17" s="27" t="str">
        <f>IFERROR(VLOOKUP($B17,자재리스트!$B$4:$M$92,12,FALSE),)</f>
        <v>w. GMSL cable</v>
      </c>
      <c r="S17" s="16">
        <v>3500000</v>
      </c>
    </row>
    <row r="18" spans="1:19" ht="25.25" customHeight="1" x14ac:dyDescent="0.45">
      <c r="A18" s="26">
        <v>8</v>
      </c>
      <c r="B18" s="27" t="s">
        <v>68</v>
      </c>
      <c r="C18" s="28" t="str">
        <f>IFERROR(VLOOKUP($B18,자재리스트!$B$4:$M$92,2,FALSE),)</f>
        <v>IR camera</v>
      </c>
      <c r="D18" s="27"/>
      <c r="E18" s="27" t="str">
        <f>IFERROR(VLOOKUP($B18,자재리스트!$B$4:$M$92,4,FALSE),)</f>
        <v>열화상 카메라</v>
      </c>
      <c r="F18" s="27" t="str">
        <f>IFERROR(VLOOKUP($B18,자재리스트!$B$4:$M$92,5,FALSE),)</f>
        <v xml:space="preserve"> - </v>
      </c>
      <c r="G18" s="27" t="str">
        <f>IFERROR(VLOOKUP($B18,자재리스트!$B$4:$M$92,6,FALSE),)</f>
        <v>미국</v>
      </c>
      <c r="H18" s="27" t="str">
        <f>IFERROR(VLOOKUP($B18,자재리스트!$B$4:$M$92,7,FALSE),)</f>
        <v>개</v>
      </c>
      <c r="I18" s="29">
        <v>3</v>
      </c>
      <c r="J18" s="29" t="str">
        <f>IFERROR(VLOOKUP($B18,자재리스트!$B$4:$M$92,8,FALSE),)</f>
        <v>KRW</v>
      </c>
      <c r="K18" s="29">
        <f>IFERROR(VLOOKUP($B18,자재리스트!$B$4:$M$92,9,FALSE),)</f>
        <v>2487523</v>
      </c>
      <c r="L18" s="29">
        <f t="shared" si="0"/>
        <v>7462569</v>
      </c>
      <c r="M18" s="27" t="str">
        <f>IFERROR(VLOOKUP($B18,자재리스트!$B$4:$M$92,10,FALSE),)</f>
        <v>IRKEN/FLIR</v>
      </c>
      <c r="N18" s="27" t="str">
        <f>IFERROR(VLOOKUP($B18,자재리스트!$B$4:$M$92,11,FALSE),)</f>
        <v>거래명세서</v>
      </c>
      <c r="O18" s="27" t="str">
        <f>IFERROR(VLOOKUP($B18,자재리스트!$B$4:$M$92,12,FALSE),)</f>
        <v>w. VPC KIT</v>
      </c>
      <c r="S18" s="16">
        <v>6700000</v>
      </c>
    </row>
    <row r="19" spans="1:19" ht="25.25" customHeight="1" x14ac:dyDescent="0.45">
      <c r="A19" s="26">
        <v>9</v>
      </c>
      <c r="B19" s="27" t="s">
        <v>69</v>
      </c>
      <c r="C19" s="28" t="str">
        <f>IFERROR(VLOOKUP($B19,자재리스트!$B$4:$M$92,2,FALSE),)</f>
        <v>IR camera window</v>
      </c>
      <c r="D19" s="27"/>
      <c r="E19" s="27" t="str">
        <f>IFERROR(VLOOKUP($B19,자재리스트!$B$4:$M$92,4,FALSE),)</f>
        <v>열화상 카메라 윈도우</v>
      </c>
      <c r="F19" s="27" t="str">
        <f>IFERROR(VLOOKUP($B19,자재리스트!$B$4:$M$92,5,FALSE),)</f>
        <v xml:space="preserve"> - </v>
      </c>
      <c r="G19" s="27" t="str">
        <f>IFERROR(VLOOKUP($B19,자재리스트!$B$4:$M$92,6,FALSE),)</f>
        <v>중국</v>
      </c>
      <c r="H19" s="27" t="str">
        <f>IFERROR(VLOOKUP($B19,자재리스트!$B$4:$M$92,7,FALSE),)</f>
        <v>개</v>
      </c>
      <c r="I19" s="29">
        <v>3</v>
      </c>
      <c r="J19" s="29" t="str">
        <f>IFERROR(VLOOKUP($B19,자재리스트!$B$4:$M$92,8,FALSE),)</f>
        <v>KRW</v>
      </c>
      <c r="K19" s="29">
        <f>IFERROR(VLOOKUP($B19,자재리스트!$B$4:$M$92,9,FALSE),)</f>
        <v>220965</v>
      </c>
      <c r="L19" s="29">
        <f t="shared" si="0"/>
        <v>662895</v>
      </c>
      <c r="M19" s="27" t="str">
        <f>IFERROR(VLOOKUP($B19,자재리스트!$B$4:$M$92,10,FALSE),)</f>
        <v>센서캠</v>
      </c>
      <c r="N19" s="27" t="str">
        <f>IFERROR(VLOOKUP($B19,자재리스트!$B$4:$M$92,11,FALSE),)</f>
        <v>거래명세서</v>
      </c>
      <c r="O19" s="27" t="str">
        <f>IFERROR(VLOOKUP($B19,자재리스트!$B$4:$M$92,12,FALSE),)</f>
        <v>1세대 용 (직경 42mm)</v>
      </c>
      <c r="S19" s="16">
        <v>2213000</v>
      </c>
    </row>
    <row r="20" spans="1:19" ht="25.25" customHeight="1" x14ac:dyDescent="0.45">
      <c r="A20" s="26">
        <v>10</v>
      </c>
      <c r="B20" s="27" t="s">
        <v>70</v>
      </c>
      <c r="C20" s="28" t="str">
        <f>IFERROR(VLOOKUP($B20,자재리스트!$B$4:$M$92,2,FALSE),)</f>
        <v>NAS junction box</v>
      </c>
      <c r="D20" s="27"/>
      <c r="E20" s="27" t="str">
        <f>IFERROR(VLOOKUP($B20,자재리스트!$B$4:$M$92,4,FALSE),)</f>
        <v>정션박스</v>
      </c>
      <c r="F20" s="27" t="str">
        <f>IFERROR(VLOOKUP($B20,자재리스트!$B$4:$M$92,5,FALSE),)</f>
        <v xml:space="preserve"> - </v>
      </c>
      <c r="G20" s="27" t="str">
        <f>IFERROR(VLOOKUP($B20,자재리스트!$B$4:$M$92,6,FALSE),)</f>
        <v>한국</v>
      </c>
      <c r="H20" s="27" t="str">
        <f>IFERROR(VLOOKUP($B20,자재리스트!$B$4:$M$92,7,FALSE),)</f>
        <v>개</v>
      </c>
      <c r="I20" s="29">
        <v>1</v>
      </c>
      <c r="J20" s="29" t="str">
        <f>IFERROR(VLOOKUP($B20,자재리스트!$B$4:$M$92,8,FALSE),)</f>
        <v>KRW</v>
      </c>
      <c r="K20" s="29">
        <f>IFERROR(VLOOKUP($B20,자재리스트!$B$4:$M$92,9,FALSE),)</f>
        <v>1000000</v>
      </c>
      <c r="L20" s="29">
        <f t="shared" si="0"/>
        <v>1000000</v>
      </c>
      <c r="M20" s="27" t="str">
        <f>IFERROR(VLOOKUP($B20,자재리스트!$B$4:$M$92,10,FALSE),)</f>
        <v>MRC</v>
      </c>
      <c r="N20" s="27" t="str">
        <f>IFERROR(VLOOKUP($B20,자재리스트!$B$4:$M$92,11,FALSE),)</f>
        <v>거래명세서</v>
      </c>
      <c r="O20" s="27" t="str">
        <f>IFERROR(VLOOKUP($B20,자재리스트!$B$4:$M$92,12,FALSE),)</f>
        <v xml:space="preserve"> - </v>
      </c>
      <c r="S20" s="16">
        <f>1520000*2</f>
        <v>3040000</v>
      </c>
    </row>
    <row r="21" spans="1:19" ht="25.25" customHeight="1" x14ac:dyDescent="0.45">
      <c r="A21" s="26">
        <v>11</v>
      </c>
      <c r="B21" s="27" t="s">
        <v>71</v>
      </c>
      <c r="C21" s="28" t="str">
        <f>IFERROR(VLOOKUP($B21,자재리스트!$B$4:$M$92,2,FALSE),)</f>
        <v>Single Board Computer</v>
      </c>
      <c r="D21" s="27"/>
      <c r="E21" s="27" t="str">
        <f>IFERROR(VLOOKUP($B21,자재리스트!$B$4:$M$92,4,FALSE),)</f>
        <v>카메라와 서버 연동</v>
      </c>
      <c r="F21" s="27" t="str">
        <f>IFERROR(VLOOKUP($B21,자재리스트!$B$4:$M$92,5,FALSE),)</f>
        <v xml:space="preserve"> - </v>
      </c>
      <c r="G21" s="27" t="str">
        <f>IFERROR(VLOOKUP($B21,자재리스트!$B$4:$M$92,6,FALSE),)</f>
        <v>인도</v>
      </c>
      <c r="H21" s="27" t="str">
        <f>IFERROR(VLOOKUP($B21,자재리스트!$B$4:$M$92,7,FALSE),)</f>
        <v>개</v>
      </c>
      <c r="I21" s="29">
        <v>1</v>
      </c>
      <c r="J21" s="29" t="str">
        <f>IFERROR(VLOOKUP($B21,자재리스트!$B$4:$M$92,8,FALSE),)</f>
        <v>KRW</v>
      </c>
      <c r="K21" s="29">
        <f>IFERROR(VLOOKUP($B21,자재리스트!$B$4:$M$92,9,FALSE),)</f>
        <v>4508312</v>
      </c>
      <c r="L21" s="29">
        <f>I21*K21</f>
        <v>4508312</v>
      </c>
      <c r="M21" s="27" t="str">
        <f>IFERROR(VLOOKUP($B21,자재리스트!$B$4:$M$92,10,FALSE),)</f>
        <v>사이더스/e-con</v>
      </c>
      <c r="N21" s="27" t="str">
        <f>IFERROR(VLOOKUP($B21,자재리스트!$B$4:$M$92,11,FALSE),)</f>
        <v>거래명세서</v>
      </c>
      <c r="O21" s="27" t="str">
        <f>IFERROR(VLOOKUP($B21,자재리스트!$B$4:$M$92,12,FALSE),)</f>
        <v xml:space="preserve"> - </v>
      </c>
      <c r="S21" s="16">
        <v>1500000</v>
      </c>
    </row>
    <row r="22" spans="1:19" ht="25.25" customHeight="1" x14ac:dyDescent="0.45">
      <c r="A22" s="26">
        <v>12</v>
      </c>
      <c r="B22" s="27" t="s">
        <v>83</v>
      </c>
      <c r="C22" s="28" t="str">
        <f>IFERROR(VLOOKUP($B22,자재리스트!$B$4:$M$92,2,FALSE),)</f>
        <v>SMPS</v>
      </c>
      <c r="D22" s="27"/>
      <c r="E22" s="27" t="str">
        <f>IFERROR(VLOOKUP($B22,자재리스트!$B$4:$M$92,4,FALSE),)</f>
        <v>Single Board Computer  전원 공급</v>
      </c>
      <c r="F22" s="27" t="str">
        <f>IFERROR(VLOOKUP($B22,자재리스트!$B$4:$M$92,5,FALSE),)</f>
        <v xml:space="preserve"> - </v>
      </c>
      <c r="G22" s="27" t="str">
        <f>IFERROR(VLOOKUP($B22,자재리스트!$B$4:$M$92,6,FALSE),)</f>
        <v>한국</v>
      </c>
      <c r="H22" s="27" t="str">
        <f>IFERROR(VLOOKUP($B22,자재리스트!$B$4:$M$92,7,FALSE),)</f>
        <v>개</v>
      </c>
      <c r="I22" s="29">
        <v>1</v>
      </c>
      <c r="J22" s="29" t="str">
        <f>IFERROR(VLOOKUP($B22,자재리스트!$B$4:$M$92,8,FALSE),)</f>
        <v>KRW</v>
      </c>
      <c r="K22" s="29">
        <f>IFERROR(VLOOKUP($B22,자재리스트!$B$4:$M$92,9,FALSE),)</f>
        <v>150000</v>
      </c>
      <c r="L22" s="29">
        <f t="shared" ref="L22:L23" si="1">I22*K22</f>
        <v>150000</v>
      </c>
      <c r="M22" s="27" t="str">
        <f>IFERROR(VLOOKUP($B22,자재리스트!$B$4:$M$92,10,FALSE),)</f>
        <v>파워캅</v>
      </c>
      <c r="N22" s="27" t="str">
        <f>IFERROR(VLOOKUP($B22,자재리스트!$B$4:$M$92,11,FALSE),)</f>
        <v>거래명세서</v>
      </c>
      <c r="O22" s="27" t="str">
        <f>IFERROR(VLOOKUP($B22,자재리스트!$B$4:$M$92,12,FALSE),)</f>
        <v xml:space="preserve"> - </v>
      </c>
      <c r="S22" s="16">
        <v>3800000</v>
      </c>
    </row>
    <row r="23" spans="1:19" ht="25.25" customHeight="1" x14ac:dyDescent="0.45">
      <c r="A23" s="26">
        <v>13</v>
      </c>
      <c r="B23" s="27" t="s">
        <v>84</v>
      </c>
      <c r="C23" s="28" t="str">
        <f>IFERROR(VLOOKUP($B23,자재리스트!$B$4:$M$92,2,FALSE),)</f>
        <v>EMI/EMC filter</v>
      </c>
      <c r="D23" s="27"/>
      <c r="E23" s="27" t="str">
        <f>IFERROR(VLOOKUP($B23,자재리스트!$B$4:$M$92,4,FALSE),)</f>
        <v>정션박스 전자파 차폐용</v>
      </c>
      <c r="F23" s="27" t="str">
        <f>IFERROR(VLOOKUP($B23,자재리스트!$B$4:$M$92,5,FALSE),)</f>
        <v xml:space="preserve"> - </v>
      </c>
      <c r="G23" s="27" t="str">
        <f>IFERROR(VLOOKUP($B23,자재리스트!$B$4:$M$92,6,FALSE),)</f>
        <v>한국</v>
      </c>
      <c r="H23" s="27" t="str">
        <f>IFERROR(VLOOKUP($B23,자재리스트!$B$4:$M$92,7,FALSE),)</f>
        <v>개</v>
      </c>
      <c r="I23" s="29">
        <v>1</v>
      </c>
      <c r="J23" s="29" t="str">
        <f>IFERROR(VLOOKUP($B23,자재리스트!$B$4:$M$92,8,FALSE),)</f>
        <v>KRW</v>
      </c>
      <c r="K23" s="29">
        <f>IFERROR(VLOOKUP($B23,자재리스트!$B$4:$M$92,9,FALSE),)</f>
        <v>77000</v>
      </c>
      <c r="L23" s="29">
        <f t="shared" si="1"/>
        <v>77000</v>
      </c>
      <c r="M23" s="27" t="str">
        <f>IFERROR(VLOOKUP($B23,자재리스트!$B$4:$M$92,10,FALSE),)</f>
        <v>오키</v>
      </c>
      <c r="N23" s="27" t="str">
        <f>IFERROR(VLOOKUP($B23,자재리스트!$B$4:$M$92,11,FALSE),)</f>
        <v>거래명세서</v>
      </c>
      <c r="O23" s="27" t="str">
        <f>IFERROR(VLOOKUP($B23,자재리스트!$B$4:$M$92,12,FALSE),)</f>
        <v xml:space="preserve"> - </v>
      </c>
      <c r="S23" s="16">
        <v>28400000</v>
      </c>
    </row>
    <row r="24" spans="1:19" ht="25.25" customHeight="1" x14ac:dyDescent="0.45">
      <c r="A24" s="26">
        <v>14</v>
      </c>
      <c r="B24" s="27" t="s">
        <v>88</v>
      </c>
      <c r="C24" s="28" t="str">
        <f>IFERROR(VLOOKUP($B24,자재리스트!$B$4:$M$92,2,FALSE),)</f>
        <v>Main rack</v>
      </c>
      <c r="D24" s="27"/>
      <c r="E24" s="27" t="str">
        <f>IFERROR(VLOOKUP($B24,자재리스트!$B$4:$M$92,4,FALSE),)</f>
        <v>서버/HUB 등 설치용 Rack</v>
      </c>
      <c r="F24" s="27" t="str">
        <f>IFERROR(VLOOKUP($B24,자재리스트!$B$4:$M$92,5,FALSE),)</f>
        <v xml:space="preserve"> - </v>
      </c>
      <c r="G24" s="27" t="str">
        <f>IFERROR(VLOOKUP($B24,자재리스트!$B$4:$M$92,6,FALSE),)</f>
        <v>한국</v>
      </c>
      <c r="H24" s="27" t="str">
        <f>IFERROR(VLOOKUP($B24,자재리스트!$B$4:$M$92,7,FALSE),)</f>
        <v>개</v>
      </c>
      <c r="I24" s="29">
        <v>1</v>
      </c>
      <c r="J24" s="29" t="str">
        <f>IFERROR(VLOOKUP($B24,자재리스트!$B$4:$M$92,8,FALSE),)</f>
        <v>KRW</v>
      </c>
      <c r="K24" s="29">
        <f>IFERROR(VLOOKUP($B24,자재리스트!$B$4:$M$92,9,FALSE),)</f>
        <v>3900000</v>
      </c>
      <c r="L24" s="29">
        <f>I24*K24</f>
        <v>3900000</v>
      </c>
      <c r="M24" s="27" t="str">
        <f>IFERROR(VLOOKUP($B24,자재리스트!$B$4:$M$92,10,FALSE),)</f>
        <v>MRC</v>
      </c>
      <c r="N24" s="27" t="str">
        <f>IFERROR(VLOOKUP($B24,자재리스트!$B$4:$M$92,11,FALSE),)</f>
        <v>거래명세서</v>
      </c>
      <c r="O24" s="27" t="str">
        <f>IFERROR(VLOOKUP($B24,자재리스트!$B$4:$M$92,12,FALSE),)</f>
        <v xml:space="preserve"> - </v>
      </c>
    </row>
    <row r="25" spans="1:19" ht="25.25" customHeight="1" x14ac:dyDescent="0.45">
      <c r="A25" s="26">
        <v>15</v>
      </c>
      <c r="B25" s="27" t="s">
        <v>89</v>
      </c>
      <c r="C25" s="28" t="str">
        <f>IFERROR(VLOOKUP($B25,자재리스트!$B$4:$M$92,2,FALSE),)</f>
        <v>Network switch</v>
      </c>
      <c r="D25" s="27"/>
      <c r="E25" s="27" t="str">
        <f>IFERROR(VLOOKUP($B25,자재리스트!$B$4:$M$92,4,FALSE),)</f>
        <v>허브 (선급인증품)</v>
      </c>
      <c r="F25" s="27" t="str">
        <f>IFERROR(VLOOKUP($B25,자재리스트!$B$4:$M$92,5,FALSE),)</f>
        <v xml:space="preserve"> - </v>
      </c>
      <c r="G25" s="27" t="str">
        <f>IFERROR(VLOOKUP($B25,자재리스트!$B$4:$M$92,6,FALSE),)</f>
        <v>한국</v>
      </c>
      <c r="H25" s="27" t="str">
        <f>IFERROR(VLOOKUP($B25,자재리스트!$B$4:$M$92,7,FALSE),)</f>
        <v>개</v>
      </c>
      <c r="I25" s="29">
        <v>2</v>
      </c>
      <c r="J25" s="29" t="str">
        <f>IFERROR(VLOOKUP($B25,자재리스트!$B$4:$M$92,8,FALSE),)</f>
        <v>KRW</v>
      </c>
      <c r="K25" s="29">
        <f>IFERROR(VLOOKUP($B25,자재리스트!$B$4:$M$92,9,FALSE),)</f>
        <v>1596000</v>
      </c>
      <c r="L25" s="29">
        <f t="shared" si="0"/>
        <v>3192000</v>
      </c>
      <c r="M25" s="27" t="str">
        <f>IFERROR(VLOOKUP($B25,자재리스트!$B$4:$M$92,10,FALSE),)</f>
        <v>여의시스템</v>
      </c>
      <c r="N25" s="27" t="str">
        <f>IFERROR(VLOOKUP($B25,자재리스트!$B$4:$M$92,11,FALSE),)</f>
        <v>거래명세서</v>
      </c>
      <c r="O25" s="27" t="str">
        <f>IFERROR(VLOOKUP($B25,자재리스트!$B$4:$M$92,12,FALSE),)</f>
        <v xml:space="preserve"> - </v>
      </c>
    </row>
    <row r="26" spans="1:19" ht="25.25" customHeight="1" x14ac:dyDescent="0.45">
      <c r="A26" s="26">
        <v>16</v>
      </c>
      <c r="B26" s="27" t="s">
        <v>90</v>
      </c>
      <c r="C26" s="28" t="str">
        <f>IFERROR(VLOOKUP($B26,자재리스트!$B$4:$M$92,2,FALSE),)</f>
        <v>Serial to Ethernet</v>
      </c>
      <c r="D26" s="27"/>
      <c r="E26" s="27" t="str">
        <f>IFERROR(VLOOKUP($B26,자재리스트!$B$4:$M$92,4,FALSE),)</f>
        <v>시리얼 통신을 LAN으로 변환</v>
      </c>
      <c r="F26" s="27" t="str">
        <f>IFERROR(VLOOKUP($B26,자재리스트!$B$4:$M$92,5,FALSE),)</f>
        <v xml:space="preserve"> - </v>
      </c>
      <c r="G26" s="27" t="str">
        <f>IFERROR(VLOOKUP($B26,자재리스트!$B$4:$M$92,6,FALSE),)</f>
        <v>한국</v>
      </c>
      <c r="H26" s="27" t="str">
        <f>IFERROR(VLOOKUP($B26,자재리스트!$B$4:$M$92,7,FALSE),)</f>
        <v>개</v>
      </c>
      <c r="I26" s="29">
        <v>2</v>
      </c>
      <c r="J26" s="29" t="str">
        <f>IFERROR(VLOOKUP($B26,자재리스트!$B$4:$M$92,8,FALSE),)</f>
        <v>KRW</v>
      </c>
      <c r="K26" s="29">
        <f>IFERROR(VLOOKUP($B26,자재리스트!$B$4:$M$92,9,FALSE),)</f>
        <v>780000</v>
      </c>
      <c r="L26" s="29">
        <f>I26*K26</f>
        <v>1560000</v>
      </c>
      <c r="M26" s="27" t="str">
        <f>IFERROR(VLOOKUP($B26,자재리스트!$B$4:$M$92,10,FALSE),)</f>
        <v>여의시스템</v>
      </c>
      <c r="N26" s="27" t="str">
        <f>IFERROR(VLOOKUP($B26,자재리스트!$B$4:$M$92,11,FALSE),)</f>
        <v>거래명세서</v>
      </c>
      <c r="O26" s="27" t="str">
        <f>IFERROR(VLOOKUP($B26,자재리스트!$B$4:$M$92,12,FALSE),)</f>
        <v xml:space="preserve"> - </v>
      </c>
    </row>
    <row r="27" spans="1:19" ht="25.25" customHeight="1" x14ac:dyDescent="0.45">
      <c r="A27" s="26">
        <v>17</v>
      </c>
      <c r="B27" s="27" t="s">
        <v>91</v>
      </c>
      <c r="C27" s="28" t="str">
        <f>IFERROR(VLOOKUP($B27,자재리스트!$B$4:$M$92,2,FALSE),)</f>
        <v>Actisense OPTO-4</v>
      </c>
      <c r="D27" s="27"/>
      <c r="E27" s="27" t="str">
        <f>IFERROR(VLOOKUP($B27,자재리스트!$B$4:$M$92,4,FALSE),)</f>
        <v>MOXA NPort5450i 케이블</v>
      </c>
      <c r="F27" s="27" t="str">
        <f>IFERROR(VLOOKUP($B27,자재리스트!$B$4:$M$92,5,FALSE),)</f>
        <v xml:space="preserve"> - </v>
      </c>
      <c r="G27" s="27" t="str">
        <f>IFERROR(VLOOKUP($B27,자재리스트!$B$4:$M$92,6,FALSE),)</f>
        <v>한국</v>
      </c>
      <c r="H27" s="27" t="str">
        <f>IFERROR(VLOOKUP($B27,자재리스트!$B$4:$M$92,7,FALSE),)</f>
        <v>개</v>
      </c>
      <c r="I27" s="29">
        <v>4</v>
      </c>
      <c r="J27" s="29" t="str">
        <f>IFERROR(VLOOKUP($B27,자재리스트!$B$4:$M$92,8,FALSE),)</f>
        <v>KRW</v>
      </c>
      <c r="K27" s="29">
        <f>IFERROR(VLOOKUP($B27,자재리스트!$B$4:$M$92,9,FALSE),)</f>
        <v>120000</v>
      </c>
      <c r="L27" s="29">
        <f>I27*K27</f>
        <v>480000</v>
      </c>
      <c r="M27" s="27" t="str">
        <f>IFERROR(VLOOKUP($B27,자재리스트!$B$4:$M$92,10,FALSE),)</f>
        <v>마린크래프트</v>
      </c>
      <c r="N27" s="27" t="str">
        <f>IFERROR(VLOOKUP($B27,자재리스트!$B$4:$M$92,11,FALSE),)</f>
        <v>거래명세서</v>
      </c>
      <c r="O27" s="27" t="str">
        <f>IFERROR(VLOOKUP($B27,자재리스트!$B$4:$M$92,12,FALSE),)</f>
        <v xml:space="preserve"> - </v>
      </c>
    </row>
    <row r="28" spans="1:19" ht="25.25" customHeight="1" x14ac:dyDescent="0.45">
      <c r="A28" s="26">
        <v>18</v>
      </c>
      <c r="B28" s="27" t="s">
        <v>82</v>
      </c>
      <c r="C28" s="28" t="str">
        <f>IFERROR(VLOOKUP($B28,자재리스트!$B$4:$M$92,2,FALSE),)</f>
        <v>Firewall</v>
      </c>
      <c r="D28" s="27"/>
      <c r="E28" s="27" t="str">
        <f>IFERROR(VLOOKUP($B28,자재리스트!$B$4:$M$92,4,FALSE),)</f>
        <v>방화벽 (선급인증품)</v>
      </c>
      <c r="F28" s="27" t="str">
        <f>IFERROR(VLOOKUP($B28,자재리스트!$B$4:$M$92,5,FALSE),)</f>
        <v xml:space="preserve"> - </v>
      </c>
      <c r="G28" s="27" t="str">
        <f>IFERROR(VLOOKUP($B28,자재리스트!$B$4:$M$92,6,FALSE),)</f>
        <v>한국</v>
      </c>
      <c r="H28" s="27" t="str">
        <f>IFERROR(VLOOKUP($B28,자재리스트!$B$4:$M$92,7,FALSE),)</f>
        <v>개</v>
      </c>
      <c r="I28" s="29">
        <v>1</v>
      </c>
      <c r="J28" s="29" t="str">
        <f>IFERROR(VLOOKUP($B28,자재리스트!$B$4:$M$92,8,FALSE),)</f>
        <v>KRW</v>
      </c>
      <c r="K28" s="29">
        <f>IFERROR(VLOOKUP($B28,자재리스트!$B$4:$M$92,9,FALSE),)</f>
        <v>3800000</v>
      </c>
      <c r="L28" s="29">
        <f t="shared" si="0"/>
        <v>3800000</v>
      </c>
      <c r="M28" s="27" t="str">
        <f>IFERROR(VLOOKUP($B28,자재리스트!$B$4:$M$92,10,FALSE),)</f>
        <v>MRC</v>
      </c>
      <c r="N28" s="27" t="str">
        <f>IFERROR(VLOOKUP($B28,자재리스트!$B$4:$M$92,11,FALSE),)</f>
        <v>거래명세서</v>
      </c>
      <c r="O28" s="27" t="str">
        <f>IFERROR(VLOOKUP($B28,자재리스트!$B$4:$M$92,12,FALSE),)</f>
        <v xml:space="preserve"> - </v>
      </c>
    </row>
    <row r="29" spans="1:19" ht="25.25" customHeight="1" x14ac:dyDescent="0.45">
      <c r="A29" s="26">
        <v>19</v>
      </c>
      <c r="B29" s="27" t="s">
        <v>92</v>
      </c>
      <c r="C29" s="28" t="str">
        <f>IFERROR(VLOOKUP($B29,자재리스트!$B$4:$M$92,2,FALSE),)</f>
        <v>Selector Switch</v>
      </c>
      <c r="D29" s="27"/>
      <c r="E29" s="27" t="str">
        <f>IFERROR(VLOOKUP($B29,자재리스트!$B$4:$M$92,4,FALSE),)</f>
        <v>HiNAS control 선택 스위치</v>
      </c>
      <c r="F29" s="27" t="str">
        <f>IFERROR(VLOOKUP($B29,자재리스트!$B$4:$M$92,5,FALSE),)</f>
        <v xml:space="preserve"> - </v>
      </c>
      <c r="G29" s="27" t="str">
        <f>IFERROR(VLOOKUP($B29,자재리스트!$B$4:$M$92,6,FALSE),)</f>
        <v>한국</v>
      </c>
      <c r="H29" s="27" t="str">
        <f>IFERROR(VLOOKUP($B29,자재리스트!$B$4:$M$92,7,FALSE),)</f>
        <v>개</v>
      </c>
      <c r="I29" s="29">
        <v>1</v>
      </c>
      <c r="J29" s="29" t="str">
        <f>IFERROR(VLOOKUP($B29,자재리스트!$B$4:$M$92,8,FALSE),)</f>
        <v>USD</v>
      </c>
      <c r="K29" s="29">
        <f>IFERROR(VLOOKUP($B29,자재리스트!$B$4:$M$92,9,FALSE),)</f>
        <v>1330</v>
      </c>
      <c r="L29" s="29">
        <f t="shared" si="0"/>
        <v>1330</v>
      </c>
      <c r="M29" s="27" t="str">
        <f>IFERROR(VLOOKUP($B29,자재리스트!$B$4:$M$92,10,FALSE),)</f>
        <v>MRC/YDK</v>
      </c>
      <c r="N29" s="27" t="str">
        <f>IFERROR(VLOOKUP($B29,자재리스트!$B$4:$M$92,11,FALSE),)</f>
        <v>거래명세서</v>
      </c>
      <c r="O29" s="27" t="str">
        <f>IFERROR(VLOOKUP($B29,자재리스트!$B$4:$M$92,12,FALSE),)</f>
        <v>YOKOGAWA (w. DIMMER BOX)</v>
      </c>
    </row>
    <row r="30" spans="1:19" ht="25.25" customHeight="1" x14ac:dyDescent="0.45">
      <c r="A30" s="26">
        <v>20</v>
      </c>
      <c r="B30" s="27" t="s">
        <v>93</v>
      </c>
      <c r="C30" s="28" t="str">
        <f>IFERROR(VLOOKUP($B30,자재리스트!$B$4:$M$92,2,FALSE),)</f>
        <v>UPS</v>
      </c>
      <c r="D30" s="27"/>
      <c r="E30" s="27" t="str">
        <f>IFERROR(VLOOKUP($B30,자재리스트!$B$4:$M$92,4,FALSE),)</f>
        <v>3kVA, 무정전 전원 공급, Rack type</v>
      </c>
      <c r="F30" s="27" t="str">
        <f>IFERROR(VLOOKUP($B30,자재리스트!$B$4:$M$92,5,FALSE),)</f>
        <v xml:space="preserve"> - </v>
      </c>
      <c r="G30" s="27" t="str">
        <f>IFERROR(VLOOKUP($B30,자재리스트!$B$4:$M$92,6,FALSE),)</f>
        <v>한국</v>
      </c>
      <c r="H30" s="27" t="str">
        <f>IFERROR(VLOOKUP($B30,자재리스트!$B$4:$M$92,7,FALSE),)</f>
        <v>개</v>
      </c>
      <c r="I30" s="29">
        <v>1</v>
      </c>
      <c r="J30" s="29" t="str">
        <f>IFERROR(VLOOKUP($B30,자재리스트!$B$4:$M$92,8,FALSE),)</f>
        <v>KRW</v>
      </c>
      <c r="K30" s="29">
        <f>IFERROR(VLOOKUP($B30,자재리스트!$B$4:$M$92,9,FALSE),)</f>
        <v>2840000</v>
      </c>
      <c r="L30" s="29">
        <f t="shared" si="0"/>
        <v>2840000</v>
      </c>
      <c r="M30" s="27" t="str">
        <f>IFERROR(VLOOKUP($B30,자재리스트!$B$4:$M$92,10,FALSE),)</f>
        <v>기호티이에스</v>
      </c>
      <c r="N30" s="27" t="str">
        <f>IFERROR(VLOOKUP($B30,자재리스트!$B$4:$M$92,11,FALSE),)</f>
        <v>거래명세서</v>
      </c>
      <c r="O30" s="27" t="str">
        <f>IFERROR(VLOOKUP($B30,자재리스트!$B$4:$M$92,12,FALSE),)</f>
        <v>마린필터, network card, 케이블 포함</v>
      </c>
    </row>
    <row r="31" spans="1:19" ht="25.25" customHeight="1" x14ac:dyDescent="0.45">
      <c r="A31" s="26">
        <v>21</v>
      </c>
      <c r="B31" s="27" t="s">
        <v>76</v>
      </c>
      <c r="C31" s="28" t="str">
        <f>IFERROR(VLOOKUP($B31,자재리스트!$B$4:$M$92,2,FALSE),)</f>
        <v>멀티탭</v>
      </c>
      <c r="D31" s="27"/>
      <c r="E31" s="27" t="str">
        <f>IFERROR(VLOOKUP($B31,자재리스트!$B$4:$M$92,4,FALSE),)</f>
        <v>UPS용</v>
      </c>
      <c r="F31" s="27" t="str">
        <f>IFERROR(VLOOKUP($B31,자재리스트!$B$4:$M$92,5,FALSE),)</f>
        <v xml:space="preserve"> - </v>
      </c>
      <c r="G31" s="27" t="str">
        <f>IFERROR(VLOOKUP($B31,자재리스트!$B$4:$M$92,6,FALSE),)</f>
        <v>한국</v>
      </c>
      <c r="H31" s="27" t="str">
        <f>IFERROR(VLOOKUP($B31,자재리스트!$B$4:$M$92,7,FALSE),)</f>
        <v>개</v>
      </c>
      <c r="I31" s="29">
        <v>2</v>
      </c>
      <c r="J31" s="29" t="str">
        <f>IFERROR(VLOOKUP($B31,자재리스트!$B$4:$M$92,8,FALSE),)</f>
        <v>KRW</v>
      </c>
      <c r="K31" s="29">
        <f>IFERROR(VLOOKUP($B31,자재리스트!$B$4:$M$92,9,FALSE),)</f>
        <v>10800</v>
      </c>
      <c r="L31" s="29">
        <f t="shared" si="0"/>
        <v>21600</v>
      </c>
      <c r="M31" s="27" t="str">
        <f>IFERROR(VLOOKUP($B31,자재리스트!$B$4:$M$92,10,FALSE),)</f>
        <v>쿠팡</v>
      </c>
      <c r="N31" s="27" t="str">
        <f>IFERROR(VLOOKUP($B31,자재리스트!$B$4:$M$92,11,FALSE),)</f>
        <v>거래명세서</v>
      </c>
      <c r="O31" s="27" t="str">
        <f>IFERROR(VLOOKUP($B31,자재리스트!$B$4:$M$92,12,FALSE),)</f>
        <v xml:space="preserve"> - </v>
      </c>
    </row>
    <row r="32" spans="1:19" ht="25.25" customHeight="1" x14ac:dyDescent="0.45">
      <c r="A32" s="26">
        <v>22</v>
      </c>
      <c r="B32" s="27" t="s">
        <v>77</v>
      </c>
      <c r="C32" s="28" t="str">
        <f>IFERROR(VLOOKUP($B32,자재리스트!$B$4:$M$92,2,FALSE),)</f>
        <v>C13-C14(MALE)</v>
      </c>
      <c r="D32" s="27"/>
      <c r="E32" s="27" t="str">
        <f>IFERROR(VLOOKUP($B32,자재리스트!$B$4:$M$92,4,FALSE),)</f>
        <v>UPS용</v>
      </c>
      <c r="F32" s="27" t="str">
        <f>IFERROR(VLOOKUP($B32,자재리스트!$B$4:$M$92,5,FALSE),)</f>
        <v xml:space="preserve"> - </v>
      </c>
      <c r="G32" s="27" t="str">
        <f>IFERROR(VLOOKUP($B32,자재리스트!$B$4:$M$92,6,FALSE),)</f>
        <v>한국</v>
      </c>
      <c r="H32" s="27" t="str">
        <f>IFERROR(VLOOKUP($B32,자재리스트!$B$4:$M$92,7,FALSE),)</f>
        <v>개</v>
      </c>
      <c r="I32" s="29">
        <v>3</v>
      </c>
      <c r="J32" s="29" t="str">
        <f>IFERROR(VLOOKUP($B32,자재리스트!$B$4:$M$92,8,FALSE),)</f>
        <v>KRW</v>
      </c>
      <c r="K32" s="29">
        <f>IFERROR(VLOOKUP($B32,자재리스트!$B$4:$M$92,9,FALSE),)</f>
        <v>9900</v>
      </c>
      <c r="L32" s="29">
        <f t="shared" si="0"/>
        <v>29700</v>
      </c>
      <c r="M32" s="27" t="str">
        <f>IFERROR(VLOOKUP($B32,자재리스트!$B$4:$M$92,10,FALSE),)</f>
        <v>한주전자</v>
      </c>
      <c r="N32" s="27" t="str">
        <f>IFERROR(VLOOKUP($B32,자재리스트!$B$4:$M$92,11,FALSE),)</f>
        <v>거래명세서</v>
      </c>
      <c r="O32" s="27" t="str">
        <f>IFERROR(VLOOKUP($B32,자재리스트!$B$4:$M$92,12,FALSE),)</f>
        <v xml:space="preserve"> - </v>
      </c>
    </row>
    <row r="33" spans="1:15" ht="24.75" customHeight="1" x14ac:dyDescent="0.45">
      <c r="A33" s="17"/>
      <c r="B33" s="31"/>
      <c r="C33" s="32"/>
      <c r="D33" s="31"/>
      <c r="E33" s="31"/>
      <c r="F33" s="31"/>
      <c r="G33" s="31"/>
      <c r="H33" s="31"/>
      <c r="I33" s="33"/>
      <c r="J33" s="33"/>
      <c r="K33" s="33"/>
      <c r="L33" s="33"/>
      <c r="M33" s="31"/>
      <c r="N33" s="31"/>
      <c r="O33" s="31"/>
    </row>
    <row r="34" spans="1:15" ht="17.5" x14ac:dyDescent="0.45">
      <c r="C34" s="116" t="s">
        <v>78</v>
      </c>
      <c r="D34" s="116"/>
      <c r="E34" s="116"/>
      <c r="F34" s="116"/>
      <c r="G34" s="116"/>
      <c r="H34" s="116"/>
      <c r="I34" s="116"/>
      <c r="J34" s="116"/>
      <c r="K34" s="116"/>
      <c r="L34" s="116"/>
      <c r="M34" s="116"/>
      <c r="N34" s="116"/>
      <c r="O34" s="116"/>
    </row>
    <row r="35" spans="1:15" ht="17.5" x14ac:dyDescent="0.45">
      <c r="C35" s="116" t="s">
        <v>79</v>
      </c>
      <c r="D35" s="116"/>
      <c r="E35" s="116"/>
      <c r="F35" s="116"/>
      <c r="G35" s="116"/>
      <c r="H35" s="116"/>
      <c r="I35" s="116"/>
      <c r="J35" s="116"/>
      <c r="K35" s="116"/>
      <c r="L35" s="116"/>
      <c r="M35" s="116"/>
      <c r="N35" s="116"/>
      <c r="O35" s="116"/>
    </row>
  </sheetData>
  <mergeCells count="4">
    <mergeCell ref="A2:O2"/>
    <mergeCell ref="C10:D10"/>
    <mergeCell ref="C34:O34"/>
    <mergeCell ref="C35:O35"/>
  </mergeCells>
  <phoneticPr fontId="3" type="noConversion"/>
  <printOptions horizontalCentered="1"/>
  <pageMargins left="0.70866141732283472" right="0.70866141732283472" top="0.74803149606299213" bottom="0.74803149606299213" header="0.31496062992125984" footer="0.31496062992125984"/>
  <pageSetup paperSize="9" scale="64" fitToWidth="0" orientation="landscape" r:id="rId1"/>
  <headerFooter>
    <oddFooter>&amp;L_x000D_&amp;1#&amp;"Calibri"&amp;9&amp;K000000 Confidential | AVIKUS – Unauthorized distribution is strictly prohibited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0874-3C7A-4F56-BA38-4BFE35DB332E}">
  <sheetPr>
    <tabColor rgb="FFFF0000"/>
    <pageSetUpPr fitToPage="1"/>
  </sheetPr>
  <dimension ref="A2:P33"/>
  <sheetViews>
    <sheetView showGridLines="0" view="pageBreakPreview" topLeftCell="M1" zoomScaleNormal="100" zoomScaleSheetLayoutView="10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2" spans="1:16" ht="30" x14ac:dyDescent="0.45">
      <c r="A2" s="113" t="s">
        <v>38</v>
      </c>
      <c r="B2" s="113"/>
      <c r="C2" s="113"/>
      <c r="D2" s="113"/>
      <c r="E2" s="113"/>
      <c r="F2" s="113"/>
      <c r="G2" s="113"/>
      <c r="H2" s="113"/>
      <c r="I2" s="113"/>
      <c r="J2" s="113"/>
      <c r="K2" s="113"/>
      <c r="L2" s="113"/>
      <c r="M2" s="113"/>
      <c r="N2" s="113"/>
      <c r="O2" s="113"/>
    </row>
    <row r="3" spans="1:16" x14ac:dyDescent="0.45">
      <c r="C3" s="16" t="s">
        <v>39</v>
      </c>
    </row>
    <row r="4" spans="1:16" ht="21" customHeight="1" x14ac:dyDescent="0.45">
      <c r="A4" s="18" t="s">
        <v>40</v>
      </c>
      <c r="B4" s="19"/>
      <c r="C4" s="19" t="s">
        <v>41</v>
      </c>
      <c r="D4" s="20" t="s">
        <v>35</v>
      </c>
      <c r="E4" s="21"/>
      <c r="F4" s="21"/>
      <c r="G4" s="21"/>
      <c r="H4" s="21"/>
      <c r="I4" s="21"/>
      <c r="J4" s="21"/>
      <c r="K4" s="21"/>
      <c r="L4" s="21"/>
      <c r="M4" s="21"/>
      <c r="N4" s="21"/>
      <c r="O4" s="21"/>
    </row>
    <row r="5" spans="1:16" ht="21" customHeight="1" x14ac:dyDescent="0.45">
      <c r="A5" s="21" t="s">
        <v>43</v>
      </c>
      <c r="C5" s="16" t="s">
        <v>41</v>
      </c>
      <c r="E5" s="21"/>
      <c r="F5" s="21"/>
      <c r="G5" s="21"/>
      <c r="H5" s="21"/>
      <c r="I5" s="21"/>
      <c r="J5" s="21"/>
      <c r="K5" s="21"/>
      <c r="L5" s="21"/>
      <c r="M5" s="21"/>
      <c r="N5" s="21"/>
      <c r="O5" s="21"/>
    </row>
    <row r="6" spans="1:16" ht="21" customHeight="1" x14ac:dyDescent="0.45">
      <c r="A6" s="21" t="s">
        <v>44</v>
      </c>
      <c r="C6" s="16" t="s">
        <v>41</v>
      </c>
      <c r="E6" s="21"/>
      <c r="F6" s="21"/>
      <c r="G6" s="21"/>
      <c r="H6" s="21"/>
      <c r="I6" s="21"/>
      <c r="J6" s="21"/>
      <c r="K6" s="21"/>
      <c r="L6" s="21"/>
      <c r="M6" s="21"/>
      <c r="N6" s="21"/>
      <c r="O6" s="21"/>
    </row>
    <row r="7" spans="1:16" ht="21" customHeight="1" x14ac:dyDescent="0.45">
      <c r="A7" s="21" t="s">
        <v>45</v>
      </c>
      <c r="C7" s="16" t="s">
        <v>41</v>
      </c>
      <c r="E7" s="21"/>
      <c r="F7" s="21" t="s">
        <v>39</v>
      </c>
      <c r="G7" s="21"/>
      <c r="H7" s="21"/>
      <c r="I7" s="21"/>
      <c r="J7" s="21"/>
      <c r="K7" s="21"/>
      <c r="L7" s="21"/>
      <c r="M7" s="21"/>
      <c r="N7" s="21"/>
      <c r="O7" s="21"/>
    </row>
    <row r="8" spans="1:16" ht="21" customHeight="1" x14ac:dyDescent="0.45">
      <c r="A8" s="21" t="s">
        <v>46</v>
      </c>
      <c r="E8" s="21"/>
      <c r="F8" s="21"/>
      <c r="G8" s="21"/>
      <c r="H8" s="21"/>
      <c r="I8" s="21"/>
      <c r="J8" s="21"/>
      <c r="K8" s="21"/>
      <c r="L8" s="21"/>
      <c r="M8" s="21"/>
      <c r="N8" s="21"/>
      <c r="O8" s="21"/>
    </row>
    <row r="9" spans="1:16" ht="6" customHeight="1" x14ac:dyDescent="0.45"/>
    <row r="10" spans="1:16" ht="34" x14ac:dyDescent="0.45">
      <c r="A10" s="23" t="s">
        <v>47</v>
      </c>
      <c r="B10" s="24" t="s">
        <v>48</v>
      </c>
      <c r="C10" s="114" t="s">
        <v>49</v>
      </c>
      <c r="D10" s="115"/>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81</v>
      </c>
      <c r="C11" s="28" t="str">
        <f>IFERROR(VLOOKUP($B11,자재리스트!$B$4:$M$92,2,FALSE),)</f>
        <v>Monitor</v>
      </c>
      <c r="D11" s="27"/>
      <c r="E11" s="27" t="str">
        <f>IFERROR(VLOOKUP($B11,자재리스트!$B$4:$M$92,4,FALSE),)</f>
        <v>DOM 58.4인치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6540000</v>
      </c>
      <c r="L11" s="29">
        <f>I11*K11</f>
        <v>6540000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85</v>
      </c>
      <c r="C12" s="28" t="str">
        <f>IFERROR(VLOOKUP($B12,자재리스트!$B$4:$M$92,2,FALSE),)</f>
        <v>Monitor</v>
      </c>
      <c r="D12" s="27"/>
      <c r="E12" s="27" t="str">
        <f>IFERROR(VLOOKUP($B12,자재리스트!$B$4:$M$92,4,FALSE),)</f>
        <v>32인치 모니터</v>
      </c>
      <c r="F12" s="27" t="str">
        <f>IFERROR(VLOOKUP($B12,자재리스트!$B$4:$M$92,5,FALSE),)</f>
        <v xml:space="preserve"> - </v>
      </c>
      <c r="G12" s="27" t="str">
        <f>IFERROR(VLOOKUP($B12,자재리스트!$B$4:$M$92,6,FALSE),)</f>
        <v>한국</v>
      </c>
      <c r="H12" s="27" t="str">
        <f>IFERROR(VLOOKUP($B12,자재리스트!$B$4:$M$92,7,FALSE),)</f>
        <v>개</v>
      </c>
      <c r="I12" s="29">
        <v>1</v>
      </c>
      <c r="J12" s="29" t="str">
        <f>IFERROR(VLOOKUP($B12,자재리스트!$B$4:$M$92,8,FALSE),)</f>
        <v>KRW</v>
      </c>
      <c r="K12" s="29">
        <f>IFERROR(VLOOKUP($B12,자재리스트!$B$4:$M$92,9,FALSE),)</f>
        <v>4480000</v>
      </c>
      <c r="L12" s="29">
        <f t="shared" ref="L12:L31" si="0">I12*K12</f>
        <v>4480000</v>
      </c>
      <c r="M12" s="27" t="str">
        <f>IFERROR(VLOOKUP($B12,자재리스트!$B$4:$M$92,10,FALSE),)</f>
        <v>MRC/테트라다인</v>
      </c>
      <c r="N12" s="27" t="str">
        <f>IFERROR(VLOOKUP($B12,자재리스트!$B$4:$M$92,11,FALSE),)</f>
        <v>거래명세서</v>
      </c>
      <c r="O12" s="27" t="str">
        <f>IFERROR(VLOOKUP($B12,자재리스트!$B$4:$M$92,12,FALSE),)</f>
        <v>RCU, RCU cable, RS485 cable, bracket 포함</v>
      </c>
      <c r="P12" s="30"/>
    </row>
    <row r="13" spans="1:16" ht="25.25" customHeight="1" x14ac:dyDescent="0.45">
      <c r="A13" s="26">
        <v>3</v>
      </c>
      <c r="B13" s="27" t="s">
        <v>64</v>
      </c>
      <c r="C13" s="28" t="str">
        <f>IFERROR(VLOOKUP($B13,자재리스트!$B$4:$M$92,2,FALSE),)</f>
        <v>Server</v>
      </c>
      <c r="D13" s="27"/>
      <c r="E13" s="27" t="str">
        <f>IFERROR(VLOOKUP($B13,자재리스트!$B$4:$M$92,4,FALSE),)</f>
        <v>메인 서버</v>
      </c>
      <c r="F13" s="27" t="str">
        <f>IFERROR(VLOOKUP($B13,자재리스트!$B$4:$M$92,5,FALSE),)</f>
        <v xml:space="preserve"> - </v>
      </c>
      <c r="G13" s="27" t="str">
        <f>IFERROR(VLOOKUP($B13,자재리스트!$B$4:$M$92,6,FALSE),)</f>
        <v>중국</v>
      </c>
      <c r="H13" s="27" t="str">
        <f>IFERROR(VLOOKUP($B13,자재리스트!$B$4:$M$92,7,FALSE),)</f>
        <v>개</v>
      </c>
      <c r="I13" s="29">
        <v>2</v>
      </c>
      <c r="J13" s="29" t="str">
        <f>IFERROR(VLOOKUP($B13,자재리스트!$B$4:$M$92,8,FALSE),)</f>
        <v>KRW</v>
      </c>
      <c r="K13" s="29">
        <f>IFERROR(VLOOKUP($B13,자재리스트!$B$4:$M$92,9,FALSE),)</f>
        <v>3320000</v>
      </c>
      <c r="L13" s="29">
        <f t="shared" si="0"/>
        <v>6640000</v>
      </c>
      <c r="M13" s="27" t="str">
        <f>IFERROR(VLOOKUP($B13,자재리스트!$B$4:$M$92,10,FALSE),)</f>
        <v>테트라다인</v>
      </c>
      <c r="N13" s="27" t="str">
        <f>IFERROR(VLOOKUP($B13,자재리스트!$B$4:$M$92,11,FALSE),)</f>
        <v>거래명세서</v>
      </c>
      <c r="O13" s="27" t="str">
        <f>IFERROR(VLOOKUP($B13,자재리스트!$B$4:$M$92,12,FALSE),)</f>
        <v xml:space="preserve"> - </v>
      </c>
    </row>
    <row r="14" spans="1:16" ht="25.25" customHeight="1" x14ac:dyDescent="0.45">
      <c r="A14" s="26">
        <v>4</v>
      </c>
      <c r="B14" s="27" t="s">
        <v>86</v>
      </c>
      <c r="C14" s="28" t="str">
        <f>IFERROR(VLOOKUP($B14,자재리스트!$B$4:$M$92,2,FALSE),)</f>
        <v>Client</v>
      </c>
      <c r="D14" s="27"/>
      <c r="E14" s="27" t="str">
        <f>IFERROR(VLOOKUP($B14,자재리스트!$B$4:$M$92,4,FALSE),)</f>
        <v>클라이언트 서버</v>
      </c>
      <c r="F14" s="27" t="str">
        <f>IFERROR(VLOOKUP($B14,자재리스트!$B$4:$M$92,5,FALSE),)</f>
        <v xml:space="preserve"> - </v>
      </c>
      <c r="G14" s="27" t="str">
        <f>IFERROR(VLOOKUP($B14,자재리스트!$B$4:$M$92,6,FALSE),)</f>
        <v>중국</v>
      </c>
      <c r="H14" s="27" t="str">
        <f>IFERROR(VLOOKUP($B14,자재리스트!$B$4:$M$92,7,FALSE),)</f>
        <v>개</v>
      </c>
      <c r="I14" s="29">
        <v>2</v>
      </c>
      <c r="J14" s="29" t="str">
        <f>IFERROR(VLOOKUP($B14,자재리스트!$B$4:$M$92,8,FALSE),)</f>
        <v>KRW</v>
      </c>
      <c r="K14" s="29">
        <f>IFERROR(VLOOKUP($B14,자재리스트!$B$4:$M$92,9,FALSE),)</f>
        <v>1820000</v>
      </c>
      <c r="L14" s="29">
        <f t="shared" si="0"/>
        <v>3640000</v>
      </c>
      <c r="M14" s="27" t="str">
        <f>IFERROR(VLOOKUP($B14,자재리스트!$B$4:$M$92,10,FALSE),)</f>
        <v>테트라다인</v>
      </c>
      <c r="N14" s="27" t="str">
        <f>IFERROR(VLOOKUP($B14,자재리스트!$B$4:$M$92,11,FALSE),)</f>
        <v>거래명세서</v>
      </c>
      <c r="O14" s="27" t="str">
        <f>IFERROR(VLOOKUP($B14,자재리스트!$B$4:$M$92,12,FALSE),)</f>
        <v xml:space="preserve"> - </v>
      </c>
    </row>
    <row r="15" spans="1:16" ht="25.25" customHeight="1" x14ac:dyDescent="0.45">
      <c r="A15" s="26">
        <v>5</v>
      </c>
      <c r="B15" s="27" t="s">
        <v>87</v>
      </c>
      <c r="C15" s="28" t="str">
        <f>IFERROR(VLOOKUP($B15,자재리스트!$B$4:$M$92,2,FALSE),)</f>
        <v>Keyboard with trackball</v>
      </c>
      <c r="D15" s="27"/>
      <c r="E15" s="27" t="str">
        <f>IFERROR(VLOOKUP($B15,자재리스트!$B$4:$M$92,4,FALSE),)</f>
        <v>선급인증품</v>
      </c>
      <c r="F15" s="27" t="str">
        <f>IFERROR(VLOOKUP($B15,자재리스트!$B$4:$M$92,5,FALSE),)</f>
        <v xml:space="preserve"> - </v>
      </c>
      <c r="G15" s="27" t="str">
        <f>IFERROR(VLOOKUP($B15,자재리스트!$B$4:$M$92,6,FALSE),)</f>
        <v>한국</v>
      </c>
      <c r="H15" s="27" t="str">
        <f>IFERROR(VLOOKUP($B15,자재리스트!$B$4:$M$92,7,FALSE),)</f>
        <v>세트</v>
      </c>
      <c r="I15" s="29">
        <v>2</v>
      </c>
      <c r="J15" s="29" t="str">
        <f>IFERROR(VLOOKUP($B15,자재리스트!$B$4:$M$92,8,FALSE),)</f>
        <v>KRW</v>
      </c>
      <c r="K15" s="29">
        <f>IFERROR(VLOOKUP($B15,자재리스트!$B$4:$M$92,9,FALSE),)</f>
        <v>1200000</v>
      </c>
      <c r="L15" s="29">
        <f>I15*K15</f>
        <v>2400000</v>
      </c>
      <c r="M15" s="27" t="str">
        <f>IFERROR(VLOOKUP($B15,자재리스트!$B$4:$M$92,10,FALSE),)</f>
        <v>피앤피컴포넌츠</v>
      </c>
      <c r="N15" s="27" t="str">
        <f>IFERROR(VLOOKUP($B15,자재리스트!$B$4:$M$92,11,FALSE),)</f>
        <v>거래명세서</v>
      </c>
      <c r="O15" s="27" t="str">
        <f>IFERROR(VLOOKUP($B15,자재리스트!$B$4:$M$92,12,FALSE),)</f>
        <v>panel mount / flush type</v>
      </c>
    </row>
    <row r="16" spans="1:16" ht="25.25" customHeight="1" x14ac:dyDescent="0.45">
      <c r="A16" s="26">
        <v>6</v>
      </c>
      <c r="B16" s="27" t="s">
        <v>94</v>
      </c>
      <c r="C16" s="28" t="str">
        <f>IFERROR(VLOOKUP($B16,자재리스트!$B$4:$M$92,2,FALSE),)</f>
        <v>NAS camera housing</v>
      </c>
      <c r="D16" s="27"/>
      <c r="E16" s="27" t="str">
        <f>IFERROR(VLOOKUP($B16,자재리스트!$B$4:$M$92,4,FALSE),)</f>
        <v>하우징</v>
      </c>
      <c r="F16" s="27" t="str">
        <f>IFERROR(VLOOKUP($B16,자재리스트!$B$4:$M$92,5,FALSE),)</f>
        <v>-</v>
      </c>
      <c r="G16" s="27" t="str">
        <f>IFERROR(VLOOKUP($B16,자재리스트!$B$4:$M$92,6,FALSE),)</f>
        <v>한국</v>
      </c>
      <c r="H16" s="27" t="str">
        <f>IFERROR(VLOOKUP($B16,자재리스트!$B$4:$M$92,7,FALSE),)</f>
        <v>개</v>
      </c>
      <c r="I16" s="29">
        <v>1</v>
      </c>
      <c r="J16" s="29" t="str">
        <f>IFERROR(VLOOKUP($B16,자재리스트!$B$4:$M$92,8,FALSE),)</f>
        <v>KRW</v>
      </c>
      <c r="K16" s="29">
        <f>IFERROR(VLOOKUP($B16,자재리스트!$B$4:$M$92,9,FALSE),)</f>
        <v>4000000</v>
      </c>
      <c r="L16" s="29">
        <f>I16*K16</f>
        <v>4000000</v>
      </c>
      <c r="M16" s="27" t="str">
        <f>IFERROR(VLOOKUP($B16,자재리스트!$B$4:$M$92,10,FALSE),)</f>
        <v>MRC</v>
      </c>
      <c r="N16" s="27" t="str">
        <f>IFERROR(VLOOKUP($B16,자재리스트!$B$4:$M$92,11,FALSE),)</f>
        <v>거래명세서</v>
      </c>
      <c r="O16" s="27" t="str">
        <f>IFERROR(VLOOKUP($B16,자재리스트!$B$4:$M$92,12,FALSE),)</f>
        <v xml:space="preserve"> - </v>
      </c>
    </row>
    <row r="17" spans="1:15" ht="25.25" customHeight="1" x14ac:dyDescent="0.45">
      <c r="A17" s="26">
        <v>7</v>
      </c>
      <c r="B17" s="27" t="s">
        <v>95</v>
      </c>
      <c r="C17" s="28" t="str">
        <f>IFERROR(VLOOKUP($B17,자재리스트!$B$4:$M$92,2,FALSE),)</f>
        <v>NAS Camera housing cable</v>
      </c>
      <c r="D17" s="27"/>
      <c r="E17" s="27" t="str">
        <f>IFERROR(VLOOKUP($B17,자재리스트!$B$4:$M$92,4,FALSE),)</f>
        <v xml:space="preserve">2세대 카메라하우징 케이블 </v>
      </c>
      <c r="F17" s="27" t="str">
        <f>IFERROR(VLOOKUP($B17,자재리스트!$B$4:$M$92,5,FALSE),)</f>
        <v xml:space="preserve"> - </v>
      </c>
      <c r="G17" s="27" t="str">
        <f>IFERROR(VLOOKUP($B17,자재리스트!$B$4:$M$92,6,FALSE),)</f>
        <v>한국</v>
      </c>
      <c r="H17" s="27" t="str">
        <f>IFERROR(VLOOKUP($B17,자재리스트!$B$4:$M$92,7,FALSE),)</f>
        <v>개</v>
      </c>
      <c r="I17" s="29">
        <v>6</v>
      </c>
      <c r="J17" s="29" t="str">
        <f>IFERROR(VLOOKUP($B17,자재리스트!$B$4:$M$92,8,FALSE),)</f>
        <v>KRW</v>
      </c>
      <c r="K17" s="29">
        <f>IFERROR(VLOOKUP($B17,자재리스트!$B$4:$M$92,9,FALSE),)</f>
        <v>211840</v>
      </c>
      <c r="L17" s="29">
        <f>I17*K17</f>
        <v>1271040</v>
      </c>
      <c r="M17" s="27" t="str">
        <f>IFERROR(VLOOKUP($B17,자재리스트!$B$4:$M$92,10,FALSE),)</f>
        <v>미림테크놀러지</v>
      </c>
      <c r="N17" s="27" t="str">
        <f>IFERROR(VLOOKUP($B17,자재리스트!$B$4:$M$92,11,FALSE),)</f>
        <v>거래명세서</v>
      </c>
      <c r="O17" s="27" t="str">
        <f>IFERROR(VLOOKUP($B17,자재리스트!$B$4:$M$92,12,FALSE),)</f>
        <v xml:space="preserve"> - </v>
      </c>
    </row>
    <row r="18" spans="1:15" ht="25.25" customHeight="1" x14ac:dyDescent="0.45">
      <c r="A18" s="26">
        <v>8</v>
      </c>
      <c r="B18" s="27" t="s">
        <v>96</v>
      </c>
      <c r="C18" s="28" t="str">
        <f>IFERROR(VLOOKUP($B18,자재리스트!$B$4:$M$92,2,FALSE),)</f>
        <v>EO Camera</v>
      </c>
      <c r="D18" s="27"/>
      <c r="E18" s="27" t="str">
        <f>IFERROR(VLOOKUP($B18,자재리스트!$B$4:$M$92,4,FALSE),)</f>
        <v>광학 카메라(4K)</v>
      </c>
      <c r="F18" s="27" t="str">
        <f>IFERROR(VLOOKUP($B18,자재리스트!$B$4:$M$92,5,FALSE),)</f>
        <v>-</v>
      </c>
      <c r="G18" s="27" t="str">
        <f>IFERROR(VLOOKUP($B18,자재리스트!$B$4:$M$92,6,FALSE),)</f>
        <v>한국</v>
      </c>
      <c r="H18" s="27" t="str">
        <f>IFERROR(VLOOKUP($B18,자재리스트!$B$4:$M$92,7,FALSE),)</f>
        <v>세트</v>
      </c>
      <c r="I18" s="29">
        <v>1</v>
      </c>
      <c r="J18" s="29" t="str">
        <f>IFERROR(VLOOKUP($B18,자재리스트!$B$4:$M$92,8,FALSE),)</f>
        <v>KRW</v>
      </c>
      <c r="K18" s="29">
        <f>IFERROR(VLOOKUP($B18,자재리스트!$B$4:$M$92,9,FALSE),)</f>
        <v>2079000</v>
      </c>
      <c r="L18" s="29">
        <f t="shared" si="0"/>
        <v>2079000</v>
      </c>
      <c r="M18" s="27" t="str">
        <f>IFERROR(VLOOKUP($B18,자재리스트!$B$4:$M$92,10,FALSE),)</f>
        <v>아르게스마린</v>
      </c>
      <c r="N18" s="27" t="str">
        <f>IFERROR(VLOOKUP($B18,자재리스트!$B$4:$M$92,11,FALSE),)</f>
        <v>거래명세서</v>
      </c>
      <c r="O18" s="27" t="str">
        <f>IFERROR(VLOOKUP($B18,자재리스트!$B$4:$M$92,12,FALSE),)</f>
        <v>w. IR Ip-board, EO glass, Receptacle harness, Waterproof cap</v>
      </c>
    </row>
    <row r="19" spans="1:15" ht="25.25" customHeight="1" x14ac:dyDescent="0.45">
      <c r="A19" s="26">
        <v>9</v>
      </c>
      <c r="B19" s="27" t="s">
        <v>68</v>
      </c>
      <c r="C19" s="28" t="str">
        <f>IFERROR(VLOOKUP($B19,자재리스트!$B$4:$M$92,2,FALSE),)</f>
        <v>IR camera</v>
      </c>
      <c r="D19" s="27"/>
      <c r="E19" s="27" t="str">
        <f>IFERROR(VLOOKUP($B19,자재리스트!$B$4:$M$92,4,FALSE),)</f>
        <v>열화상 카메라</v>
      </c>
      <c r="F19" s="27" t="str">
        <f>IFERROR(VLOOKUP($B19,자재리스트!$B$4:$M$92,5,FALSE),)</f>
        <v xml:space="preserve"> - </v>
      </c>
      <c r="G19" s="27" t="str">
        <f>IFERROR(VLOOKUP($B19,자재리스트!$B$4:$M$92,6,FALSE),)</f>
        <v>미국</v>
      </c>
      <c r="H19" s="27" t="str">
        <f>IFERROR(VLOOKUP($B19,자재리스트!$B$4:$M$92,7,FALSE),)</f>
        <v>개</v>
      </c>
      <c r="I19" s="29">
        <v>3</v>
      </c>
      <c r="J19" s="29" t="str">
        <f>IFERROR(VLOOKUP($B19,자재리스트!$B$4:$M$92,8,FALSE),)</f>
        <v>KRW</v>
      </c>
      <c r="K19" s="29">
        <f>IFERROR(VLOOKUP($B19,자재리스트!$B$4:$M$92,9,FALSE),)</f>
        <v>2487523</v>
      </c>
      <c r="L19" s="29">
        <f t="shared" si="0"/>
        <v>7462569</v>
      </c>
      <c r="M19" s="27" t="str">
        <f>IFERROR(VLOOKUP($B19,자재리스트!$B$4:$M$92,10,FALSE),)</f>
        <v>IRKEN/FLIR</v>
      </c>
      <c r="N19" s="27" t="str">
        <f>IFERROR(VLOOKUP($B19,자재리스트!$B$4:$M$92,11,FALSE),)</f>
        <v>거래명세서</v>
      </c>
      <c r="O19" s="27" t="str">
        <f>IFERROR(VLOOKUP($B19,자재리스트!$B$4:$M$92,12,FALSE),)</f>
        <v>w. VPC KIT</v>
      </c>
    </row>
    <row r="20" spans="1:15" ht="25.25" customHeight="1" x14ac:dyDescent="0.45">
      <c r="A20" s="26">
        <v>10</v>
      </c>
      <c r="B20" s="27" t="s">
        <v>97</v>
      </c>
      <c r="C20" s="28" t="str">
        <f>IFERROR(VLOOKUP($B20,자재리스트!$B$4:$M$92,2,FALSE),)</f>
        <v>IR camera window</v>
      </c>
      <c r="D20" s="27"/>
      <c r="E20" s="27" t="str">
        <f>IFERROR(VLOOKUP($B20,자재리스트!$B$4:$M$92,4,FALSE),)</f>
        <v>열화상 카메라 윈도우</v>
      </c>
      <c r="F20" s="27" t="str">
        <f>IFERROR(VLOOKUP($B20,자재리스트!$B$4:$M$92,5,FALSE),)</f>
        <v>-</v>
      </c>
      <c r="G20" s="27" t="str">
        <f>IFERROR(VLOOKUP($B20,자재리스트!$B$4:$M$92,6,FALSE),)</f>
        <v>중국</v>
      </c>
      <c r="H20" s="27" t="str">
        <f>IFERROR(VLOOKUP($B20,자재리스트!$B$4:$M$92,7,FALSE),)</f>
        <v>개</v>
      </c>
      <c r="I20" s="29">
        <v>3</v>
      </c>
      <c r="J20" s="29" t="str">
        <f>IFERROR(VLOOKUP($B20,자재리스트!$B$4:$M$92,8,FALSE),)</f>
        <v>KRW</v>
      </c>
      <c r="K20" s="29">
        <f>IFERROR(VLOOKUP($B20,자재리스트!$B$4:$M$92,9,FALSE),)</f>
        <v>279889</v>
      </c>
      <c r="L20" s="29">
        <f t="shared" si="0"/>
        <v>839667</v>
      </c>
      <c r="M20" s="27" t="str">
        <f>IFERROR(VLOOKUP($B20,자재리스트!$B$4:$M$92,10,FALSE),)</f>
        <v>센서캠</v>
      </c>
      <c r="N20" s="27" t="str">
        <f>IFERROR(VLOOKUP($B20,자재리스트!$B$4:$M$92,11,FALSE),)</f>
        <v>거래명세서</v>
      </c>
      <c r="O20" s="27" t="str">
        <f>IFERROR(VLOOKUP($B20,자재리스트!$B$4:$M$92,12,FALSE),)</f>
        <v>2세대 용 (직경 45mm)</v>
      </c>
    </row>
    <row r="21" spans="1:15" ht="25.25" customHeight="1" x14ac:dyDescent="0.45">
      <c r="A21" s="26">
        <v>11</v>
      </c>
      <c r="B21" s="27" t="s">
        <v>88</v>
      </c>
      <c r="C21" s="28" t="str">
        <f>IFERROR(VLOOKUP($B21,자재리스트!$B$4:$M$92,2,FALSE),)</f>
        <v>Main rack</v>
      </c>
      <c r="D21" s="27"/>
      <c r="E21" s="27" t="str">
        <f>IFERROR(VLOOKUP($B21,자재리스트!$B$4:$M$92,4,FALSE),)</f>
        <v>서버/HUB 등 설치용 Rack</v>
      </c>
      <c r="F21" s="27" t="str">
        <f>IFERROR(VLOOKUP($B21,자재리스트!$B$4:$M$92,5,FALSE),)</f>
        <v xml:space="preserve"> - </v>
      </c>
      <c r="G21" s="27" t="str">
        <f>IFERROR(VLOOKUP($B21,자재리스트!$B$4:$M$92,6,FALSE),)</f>
        <v>한국</v>
      </c>
      <c r="H21" s="27" t="str">
        <f>IFERROR(VLOOKUP($B21,자재리스트!$B$4:$M$92,7,FALSE),)</f>
        <v>개</v>
      </c>
      <c r="I21" s="29">
        <v>1</v>
      </c>
      <c r="J21" s="29" t="str">
        <f>IFERROR(VLOOKUP($B21,자재리스트!$B$4:$M$92,8,FALSE),)</f>
        <v>KRW</v>
      </c>
      <c r="K21" s="29">
        <f>IFERROR(VLOOKUP($B21,자재리스트!$B$4:$M$92,9,FALSE),)</f>
        <v>3900000</v>
      </c>
      <c r="L21" s="29">
        <f>I21*K21</f>
        <v>3900000</v>
      </c>
      <c r="M21" s="27" t="str">
        <f>IFERROR(VLOOKUP($B21,자재리스트!$B$4:$M$92,10,FALSE),)</f>
        <v>MRC</v>
      </c>
      <c r="N21" s="27" t="str">
        <f>IFERROR(VLOOKUP($B21,자재리스트!$B$4:$M$92,11,FALSE),)</f>
        <v>거래명세서</v>
      </c>
      <c r="O21" s="27" t="str">
        <f>IFERROR(VLOOKUP($B21,자재리스트!$B$4:$M$92,12,FALSE),)</f>
        <v xml:space="preserve"> - </v>
      </c>
    </row>
    <row r="22" spans="1:15" ht="25.25" customHeight="1" x14ac:dyDescent="0.45">
      <c r="A22" s="26">
        <v>12</v>
      </c>
      <c r="B22" s="27" t="s">
        <v>89</v>
      </c>
      <c r="C22" s="28" t="str">
        <f>IFERROR(VLOOKUP($B22,자재리스트!$B$4:$M$92,2,FALSE),)</f>
        <v>Network switch</v>
      </c>
      <c r="D22" s="27"/>
      <c r="E22" s="27" t="str">
        <f>IFERROR(VLOOKUP($B22,자재리스트!$B$4:$M$92,4,FALSE),)</f>
        <v>허브 (선급인증품)</v>
      </c>
      <c r="F22" s="27" t="str">
        <f>IFERROR(VLOOKUP($B22,자재리스트!$B$4:$M$92,5,FALSE),)</f>
        <v xml:space="preserve"> - </v>
      </c>
      <c r="G22" s="27" t="str">
        <f>IFERROR(VLOOKUP($B22,자재리스트!$B$4:$M$92,6,FALSE),)</f>
        <v>한국</v>
      </c>
      <c r="H22" s="27" t="str">
        <f>IFERROR(VLOOKUP($B22,자재리스트!$B$4:$M$92,7,FALSE),)</f>
        <v>개</v>
      </c>
      <c r="I22" s="29">
        <v>2</v>
      </c>
      <c r="J22" s="29" t="str">
        <f>IFERROR(VLOOKUP($B22,자재리스트!$B$4:$M$92,8,FALSE),)</f>
        <v>KRW</v>
      </c>
      <c r="K22" s="29">
        <f>IFERROR(VLOOKUP($B22,자재리스트!$B$4:$M$92,9,FALSE),)</f>
        <v>1596000</v>
      </c>
      <c r="L22" s="29">
        <f t="shared" si="0"/>
        <v>3192000</v>
      </c>
      <c r="M22" s="27" t="str">
        <f>IFERROR(VLOOKUP($B22,자재리스트!$B$4:$M$92,10,FALSE),)</f>
        <v>여의시스템</v>
      </c>
      <c r="N22" s="27" t="str">
        <f>IFERROR(VLOOKUP($B22,자재리스트!$B$4:$M$92,11,FALSE),)</f>
        <v>거래명세서</v>
      </c>
      <c r="O22" s="27" t="str">
        <f>IFERROR(VLOOKUP($B22,자재리스트!$B$4:$M$92,12,FALSE),)</f>
        <v xml:space="preserve"> - </v>
      </c>
    </row>
    <row r="23" spans="1:15" ht="25.25" customHeight="1" x14ac:dyDescent="0.45">
      <c r="A23" s="26">
        <v>13</v>
      </c>
      <c r="B23" s="27" t="s">
        <v>90</v>
      </c>
      <c r="C23" s="28" t="str">
        <f>IFERROR(VLOOKUP($B23,자재리스트!$B$4:$M$92,2,FALSE),)</f>
        <v>Serial to Ethernet</v>
      </c>
      <c r="D23" s="27"/>
      <c r="E23" s="27" t="str">
        <f>IFERROR(VLOOKUP($B23,자재리스트!$B$4:$M$92,4,FALSE),)</f>
        <v>시리얼 통신을 LAN으로 변환</v>
      </c>
      <c r="F23" s="27" t="str">
        <f>IFERROR(VLOOKUP($B23,자재리스트!$B$4:$M$92,5,FALSE),)</f>
        <v xml:space="preserve"> - </v>
      </c>
      <c r="G23" s="27" t="str">
        <f>IFERROR(VLOOKUP($B23,자재리스트!$B$4:$M$92,6,FALSE),)</f>
        <v>한국</v>
      </c>
      <c r="H23" s="27" t="str">
        <f>IFERROR(VLOOKUP($B23,자재리스트!$B$4:$M$92,7,FALSE),)</f>
        <v>개</v>
      </c>
      <c r="I23" s="29">
        <v>2</v>
      </c>
      <c r="J23" s="29" t="str">
        <f>IFERROR(VLOOKUP($B23,자재리스트!$B$4:$M$92,8,FALSE),)</f>
        <v>KRW</v>
      </c>
      <c r="K23" s="29">
        <f>IFERROR(VLOOKUP($B23,자재리스트!$B$4:$M$92,9,FALSE),)</f>
        <v>780000</v>
      </c>
      <c r="L23" s="29">
        <f>I23*K23</f>
        <v>1560000</v>
      </c>
      <c r="M23" s="27" t="str">
        <f>IFERROR(VLOOKUP($B23,자재리스트!$B$4:$M$92,10,FALSE),)</f>
        <v>여의시스템</v>
      </c>
      <c r="N23" s="27" t="str">
        <f>IFERROR(VLOOKUP($B23,자재리스트!$B$4:$M$92,11,FALSE),)</f>
        <v>거래명세서</v>
      </c>
      <c r="O23" s="27" t="str">
        <f>IFERROR(VLOOKUP($B23,자재리스트!$B$4:$M$92,12,FALSE),)</f>
        <v xml:space="preserve"> - </v>
      </c>
    </row>
    <row r="24" spans="1:15" ht="25.25" customHeight="1" x14ac:dyDescent="0.45">
      <c r="A24" s="26">
        <v>14</v>
      </c>
      <c r="B24" s="27" t="s">
        <v>91</v>
      </c>
      <c r="C24" s="28" t="str">
        <f>IFERROR(VLOOKUP($B24,자재리스트!$B$4:$M$92,2,FALSE),)</f>
        <v>Actisense OPTO-4</v>
      </c>
      <c r="D24" s="27"/>
      <c r="E24" s="27" t="str">
        <f>IFERROR(VLOOKUP($B24,자재리스트!$B$4:$M$92,4,FALSE),)</f>
        <v>MOXA NPort5450i 케이블</v>
      </c>
      <c r="F24" s="27" t="str">
        <f>IFERROR(VLOOKUP($B24,자재리스트!$B$4:$M$92,5,FALSE),)</f>
        <v xml:space="preserve"> - </v>
      </c>
      <c r="G24" s="27" t="str">
        <f>IFERROR(VLOOKUP($B24,자재리스트!$B$4:$M$92,6,FALSE),)</f>
        <v>한국</v>
      </c>
      <c r="H24" s="27" t="str">
        <f>IFERROR(VLOOKUP($B24,자재리스트!$B$4:$M$92,7,FALSE),)</f>
        <v>개</v>
      </c>
      <c r="I24" s="29">
        <v>4</v>
      </c>
      <c r="J24" s="29" t="str">
        <f>IFERROR(VLOOKUP($B24,자재리스트!$B$4:$M$92,8,FALSE),)</f>
        <v>KRW</v>
      </c>
      <c r="K24" s="29">
        <f>IFERROR(VLOOKUP($B24,자재리스트!$B$4:$M$92,9,FALSE),)</f>
        <v>120000</v>
      </c>
      <c r="L24" s="29">
        <f>I24*K24</f>
        <v>480000</v>
      </c>
      <c r="M24" s="27" t="str">
        <f>IFERROR(VLOOKUP($B24,자재리스트!$B$4:$M$92,10,FALSE),)</f>
        <v>마린크래프트</v>
      </c>
      <c r="N24" s="27" t="str">
        <f>IFERROR(VLOOKUP($B24,자재리스트!$B$4:$M$92,11,FALSE),)</f>
        <v>거래명세서</v>
      </c>
      <c r="O24" s="27" t="str">
        <f>IFERROR(VLOOKUP($B24,자재리스트!$B$4:$M$92,12,FALSE),)</f>
        <v xml:space="preserve"> - </v>
      </c>
    </row>
    <row r="25" spans="1:15" ht="25.25" customHeight="1" x14ac:dyDescent="0.45">
      <c r="A25" s="26">
        <v>15</v>
      </c>
      <c r="B25" s="27" t="s">
        <v>82</v>
      </c>
      <c r="C25" s="28" t="str">
        <f>IFERROR(VLOOKUP($B25,자재리스트!$B$4:$M$92,2,FALSE),)</f>
        <v>Firewall</v>
      </c>
      <c r="D25" s="27"/>
      <c r="E25" s="27" t="str">
        <f>IFERROR(VLOOKUP($B25,자재리스트!$B$4:$M$92,4,FALSE),)</f>
        <v>방화벽 (선급인증품)</v>
      </c>
      <c r="F25" s="27" t="str">
        <f>IFERROR(VLOOKUP($B25,자재리스트!$B$4:$M$92,5,FALSE),)</f>
        <v xml:space="preserve"> - </v>
      </c>
      <c r="G25" s="27" t="str">
        <f>IFERROR(VLOOKUP($B25,자재리스트!$B$4:$M$92,6,FALSE),)</f>
        <v>한국</v>
      </c>
      <c r="H25" s="27" t="str">
        <f>IFERROR(VLOOKUP($B25,자재리스트!$B$4:$M$92,7,FALSE),)</f>
        <v>개</v>
      </c>
      <c r="I25" s="29">
        <v>1</v>
      </c>
      <c r="J25" s="29" t="str">
        <f>IFERROR(VLOOKUP($B25,자재리스트!$B$4:$M$92,8,FALSE),)</f>
        <v>KRW</v>
      </c>
      <c r="K25" s="29">
        <f>IFERROR(VLOOKUP($B25,자재리스트!$B$4:$M$92,9,FALSE),)</f>
        <v>3800000</v>
      </c>
      <c r="L25" s="29">
        <f t="shared" si="0"/>
        <v>3800000</v>
      </c>
      <c r="M25" s="27" t="str">
        <f>IFERROR(VLOOKUP($B25,자재리스트!$B$4:$M$92,10,FALSE),)</f>
        <v>MRC</v>
      </c>
      <c r="N25" s="27" t="str">
        <f>IFERROR(VLOOKUP($B25,자재리스트!$B$4:$M$92,11,FALSE),)</f>
        <v>거래명세서</v>
      </c>
      <c r="O25" s="27" t="str">
        <f>IFERROR(VLOOKUP($B25,자재리스트!$B$4:$M$92,12,FALSE),)</f>
        <v xml:space="preserve"> - </v>
      </c>
    </row>
    <row r="26" spans="1:15" ht="25.25" customHeight="1" x14ac:dyDescent="0.45">
      <c r="A26" s="26">
        <v>16</v>
      </c>
      <c r="B26" s="27" t="s">
        <v>92</v>
      </c>
      <c r="C26" s="28" t="str">
        <f>IFERROR(VLOOKUP($B26,자재리스트!$B$4:$M$92,2,FALSE),)</f>
        <v>Selector Switch</v>
      </c>
      <c r="D26" s="27"/>
      <c r="E26" s="27" t="str">
        <f>IFERROR(VLOOKUP($B26,자재리스트!$B$4:$M$92,4,FALSE),)</f>
        <v>HiNAS control 선택 스위치</v>
      </c>
      <c r="F26" s="27" t="str">
        <f>IFERROR(VLOOKUP($B26,자재리스트!$B$4:$M$92,5,FALSE),)</f>
        <v xml:space="preserve"> - </v>
      </c>
      <c r="G26" s="27" t="str">
        <f>IFERROR(VLOOKUP($B26,자재리스트!$B$4:$M$92,6,FALSE),)</f>
        <v>한국</v>
      </c>
      <c r="H26" s="27" t="str">
        <f>IFERROR(VLOOKUP($B26,자재리스트!$B$4:$M$92,7,FALSE),)</f>
        <v>개</v>
      </c>
      <c r="I26" s="29">
        <v>1</v>
      </c>
      <c r="J26" s="29" t="str">
        <f>IFERROR(VLOOKUP($B26,자재리스트!$B$4:$M$92,8,FALSE),)</f>
        <v>USD</v>
      </c>
      <c r="K26" s="29">
        <f>IFERROR(VLOOKUP($B26,자재리스트!$B$4:$M$92,9,FALSE),)</f>
        <v>1330</v>
      </c>
      <c r="L26" s="29">
        <f t="shared" si="0"/>
        <v>1330</v>
      </c>
      <c r="M26" s="27" t="str">
        <f>IFERROR(VLOOKUP($B26,자재리스트!$B$4:$M$92,10,FALSE),)</f>
        <v>MRC/YDK</v>
      </c>
      <c r="N26" s="27" t="str">
        <f>IFERROR(VLOOKUP($B26,자재리스트!$B$4:$M$92,11,FALSE),)</f>
        <v>거래명세서</v>
      </c>
      <c r="O26" s="27" t="str">
        <f>IFERROR(VLOOKUP($B26,자재리스트!$B$4:$M$92,12,FALSE),)</f>
        <v>YOKOGAWA (w. DIMMER BOX)</v>
      </c>
    </row>
    <row r="27" spans="1:15" ht="25.25" customHeight="1" x14ac:dyDescent="0.45">
      <c r="A27" s="26">
        <v>17</v>
      </c>
      <c r="B27" s="27" t="s">
        <v>93</v>
      </c>
      <c r="C27" s="28" t="str">
        <f>IFERROR(VLOOKUP($B27,자재리스트!$B$4:$M$92,2,FALSE),)</f>
        <v>UPS</v>
      </c>
      <c r="D27" s="27"/>
      <c r="E27" s="27" t="str">
        <f>IFERROR(VLOOKUP($B27,자재리스트!$B$4:$M$92,4,FALSE),)</f>
        <v>3kVA, 무정전 전원 공급, Rack type</v>
      </c>
      <c r="F27" s="27" t="str">
        <f>IFERROR(VLOOKUP($B27,자재리스트!$B$4:$M$92,5,FALSE),)</f>
        <v xml:space="preserve"> - </v>
      </c>
      <c r="G27" s="27" t="str">
        <f>IFERROR(VLOOKUP($B27,자재리스트!$B$4:$M$92,6,FALSE),)</f>
        <v>한국</v>
      </c>
      <c r="H27" s="27" t="str">
        <f>IFERROR(VLOOKUP($B27,자재리스트!$B$4:$M$92,7,FALSE),)</f>
        <v>개</v>
      </c>
      <c r="I27" s="29">
        <v>1</v>
      </c>
      <c r="J27" s="29" t="str">
        <f>IFERROR(VLOOKUP($B27,자재리스트!$B$4:$M$92,8,FALSE),)</f>
        <v>KRW</v>
      </c>
      <c r="K27" s="29">
        <f>IFERROR(VLOOKUP($B27,자재리스트!$B$4:$M$92,9,FALSE),)</f>
        <v>2840000</v>
      </c>
      <c r="L27" s="29">
        <f t="shared" si="0"/>
        <v>2840000</v>
      </c>
      <c r="M27" s="27" t="str">
        <f>IFERROR(VLOOKUP($B27,자재리스트!$B$4:$M$92,10,FALSE),)</f>
        <v>기호티이에스</v>
      </c>
      <c r="N27" s="27" t="str">
        <f>IFERROR(VLOOKUP($B27,자재리스트!$B$4:$M$92,11,FALSE),)</f>
        <v>거래명세서</v>
      </c>
      <c r="O27" s="27" t="str">
        <f>IFERROR(VLOOKUP($B27,자재리스트!$B$4:$M$92,12,FALSE),)</f>
        <v>마린필터, network card, 케이블 포함</v>
      </c>
    </row>
    <row r="28" spans="1:15" ht="25.25" customHeight="1" x14ac:dyDescent="0.45">
      <c r="A28" s="26">
        <v>18</v>
      </c>
      <c r="B28" s="27" t="s">
        <v>76</v>
      </c>
      <c r="C28" s="28" t="str">
        <f>IFERROR(VLOOKUP($B28,자재리스트!$B$4:$M$92,2,FALSE),)</f>
        <v>멀티탭</v>
      </c>
      <c r="D28" s="27"/>
      <c r="E28" s="27" t="str">
        <f>IFERROR(VLOOKUP($B28,자재리스트!$B$4:$M$92,4,FALSE),)</f>
        <v>UPS용</v>
      </c>
      <c r="F28" s="27" t="str">
        <f>IFERROR(VLOOKUP($B28,자재리스트!$B$4:$M$92,5,FALSE),)</f>
        <v xml:space="preserve"> - </v>
      </c>
      <c r="G28" s="27" t="str">
        <f>IFERROR(VLOOKUP($B28,자재리스트!$B$4:$M$92,6,FALSE),)</f>
        <v>한국</v>
      </c>
      <c r="H28" s="27" t="str">
        <f>IFERROR(VLOOKUP($B28,자재리스트!$B$4:$M$92,7,FALSE),)</f>
        <v>개</v>
      </c>
      <c r="I28" s="29">
        <v>2</v>
      </c>
      <c r="J28" s="29" t="str">
        <f>IFERROR(VLOOKUP($B28,자재리스트!$B$4:$M$92,8,FALSE),)</f>
        <v>KRW</v>
      </c>
      <c r="K28" s="29">
        <f>IFERROR(VLOOKUP($B28,자재리스트!$B$4:$M$92,9,FALSE),)</f>
        <v>10800</v>
      </c>
      <c r="L28" s="29">
        <f t="shared" si="0"/>
        <v>21600</v>
      </c>
      <c r="M28" s="27" t="str">
        <f>IFERROR(VLOOKUP($B28,자재리스트!$B$4:$M$92,10,FALSE),)</f>
        <v>쿠팡</v>
      </c>
      <c r="N28" s="27" t="str">
        <f>IFERROR(VLOOKUP($B28,자재리스트!$B$4:$M$92,11,FALSE),)</f>
        <v>거래명세서</v>
      </c>
      <c r="O28" s="27" t="str">
        <f>IFERROR(VLOOKUP($B28,자재리스트!$B$4:$M$92,12,FALSE),)</f>
        <v xml:space="preserve"> - </v>
      </c>
    </row>
    <row r="29" spans="1:15" ht="25.25" customHeight="1" x14ac:dyDescent="0.45">
      <c r="A29" s="26">
        <v>19</v>
      </c>
      <c r="B29" s="27" t="s">
        <v>77</v>
      </c>
      <c r="C29" s="28" t="str">
        <f>IFERROR(VLOOKUP($B29,자재리스트!$B$4:$M$92,2,FALSE),)</f>
        <v>C13-C14(MALE)</v>
      </c>
      <c r="D29" s="27"/>
      <c r="E29" s="27" t="str">
        <f>IFERROR(VLOOKUP($B29,자재리스트!$B$4:$M$92,4,FALSE),)</f>
        <v>UPS용</v>
      </c>
      <c r="F29" s="27" t="str">
        <f>IFERROR(VLOOKUP($B29,자재리스트!$B$4:$M$92,5,FALSE),)</f>
        <v xml:space="preserve"> - </v>
      </c>
      <c r="G29" s="27" t="str">
        <f>IFERROR(VLOOKUP($B29,자재리스트!$B$4:$M$92,6,FALSE),)</f>
        <v>한국</v>
      </c>
      <c r="H29" s="27" t="str">
        <f>IFERROR(VLOOKUP($B29,자재리스트!$B$4:$M$92,7,FALSE),)</f>
        <v>개</v>
      </c>
      <c r="I29" s="29">
        <v>3</v>
      </c>
      <c r="J29" s="29" t="str">
        <f>IFERROR(VLOOKUP($B29,자재리스트!$B$4:$M$92,8,FALSE),)</f>
        <v>KRW</v>
      </c>
      <c r="K29" s="29">
        <f>IFERROR(VLOOKUP($B29,자재리스트!$B$4:$M$92,9,FALSE),)</f>
        <v>9900</v>
      </c>
      <c r="L29" s="29">
        <f t="shared" si="0"/>
        <v>29700</v>
      </c>
      <c r="M29" s="27" t="str">
        <f>IFERROR(VLOOKUP($B29,자재리스트!$B$4:$M$92,10,FALSE),)</f>
        <v>한주전자</v>
      </c>
      <c r="N29" s="27" t="str">
        <f>IFERROR(VLOOKUP($B29,자재리스트!$B$4:$M$92,11,FALSE),)</f>
        <v>거래명세서</v>
      </c>
      <c r="O29" s="27" t="str">
        <f>IFERROR(VLOOKUP($B29,자재리스트!$B$4:$M$92,12,FALSE),)</f>
        <v xml:space="preserve"> - </v>
      </c>
    </row>
    <row r="30" spans="1:15" ht="24.75" customHeight="1" x14ac:dyDescent="0.45">
      <c r="A30" s="26">
        <v>20</v>
      </c>
      <c r="B30" s="27" t="s">
        <v>98</v>
      </c>
      <c r="C30" s="28" t="str">
        <f>IFERROR(VLOOKUP($B30,자재리스트!$B$4:$M$92,2,FALSE),)</f>
        <v>Network PoE Switch</v>
      </c>
      <c r="D30" s="27"/>
      <c r="E30" s="27" t="str">
        <f>IFERROR(VLOOKUP($B30,자재리스트!$B$4:$M$92,4,FALSE),)</f>
        <v>IP 카메라에 전원 공급</v>
      </c>
      <c r="F30" s="27" t="str">
        <f>IFERROR(VLOOKUP($B30,자재리스트!$B$4:$M$92,5,FALSE),)</f>
        <v xml:space="preserve"> - </v>
      </c>
      <c r="G30" s="27" t="str">
        <f>IFERROR(VLOOKUP($B30,자재리스트!$B$4:$M$92,6,FALSE),)</f>
        <v>한국</v>
      </c>
      <c r="H30" s="27" t="str">
        <f>IFERROR(VLOOKUP($B30,자재리스트!$B$4:$M$92,7,FALSE),)</f>
        <v>개</v>
      </c>
      <c r="I30" s="29">
        <v>1</v>
      </c>
      <c r="J30" s="29" t="str">
        <f>IFERROR(VLOOKUP($B30,자재리스트!$B$4:$M$92,8,FALSE),)</f>
        <v>KRW</v>
      </c>
      <c r="K30" s="29">
        <f>IFERROR(VLOOKUP($B30,자재리스트!$B$4:$M$92,9,FALSE),)</f>
        <v>2213000</v>
      </c>
      <c r="L30" s="29">
        <f t="shared" si="0"/>
        <v>2213000</v>
      </c>
      <c r="M30" s="27" t="str">
        <f>IFERROR(VLOOKUP($B30,자재리스트!$B$4:$M$92,10,FALSE),)</f>
        <v>여의시스템</v>
      </c>
      <c r="N30" s="27" t="str">
        <f>IFERROR(VLOOKUP($B30,자재리스트!$B$4:$M$92,11,FALSE),)</f>
        <v>거래명세서</v>
      </c>
      <c r="O30" s="27" t="str">
        <f>IFERROR(VLOOKUP($B30,자재리스트!$B$4:$M$92,12,FALSE),)</f>
        <v xml:space="preserve"> - </v>
      </c>
    </row>
    <row r="31" spans="1:15" ht="24.75" customHeight="1" x14ac:dyDescent="0.45">
      <c r="A31" s="26">
        <v>21</v>
      </c>
      <c r="B31" s="27" t="s">
        <v>99</v>
      </c>
      <c r="C31" s="28" t="str">
        <f>IFERROR(VLOOKUP($B31,자재리스트!$B$4:$M$92,2,FALSE),)</f>
        <v>UNO2-PS-1AC-24DC-240W</v>
      </c>
      <c r="D31" s="27"/>
      <c r="E31" s="27" t="str">
        <f>IFERROR(VLOOKUP($B31,자재리스트!$B$4:$M$92,4,FALSE),)</f>
        <v>POE SWITCH 용 240W 파워 서플라이</v>
      </c>
      <c r="F31" s="27" t="str">
        <f>IFERROR(VLOOKUP($B31,자재리스트!$B$4:$M$92,5,FALSE),)</f>
        <v xml:space="preserve"> - </v>
      </c>
      <c r="G31" s="27" t="str">
        <f>IFERROR(VLOOKUP($B31,자재리스트!$B$4:$M$92,6,FALSE),)</f>
        <v>한국</v>
      </c>
      <c r="H31" s="27" t="str">
        <f>IFERROR(VLOOKUP($B31,자재리스트!$B$4:$M$92,7,FALSE),)</f>
        <v>개</v>
      </c>
      <c r="I31" s="29">
        <v>1</v>
      </c>
      <c r="J31" s="29" t="str">
        <f>IFERROR(VLOOKUP($B31,자재리스트!$B$4:$M$92,8,FALSE),)</f>
        <v>KRW</v>
      </c>
      <c r="K31" s="29">
        <f>IFERROR(VLOOKUP($B31,자재리스트!$B$4:$M$92,9,FALSE),)</f>
        <v>190000</v>
      </c>
      <c r="L31" s="29">
        <f t="shared" si="0"/>
        <v>190000</v>
      </c>
      <c r="M31" s="27" t="str">
        <f>IFERROR(VLOOKUP($B31,자재리스트!$B$4:$M$92,10,FALSE),)</f>
        <v>세종전자</v>
      </c>
      <c r="N31" s="27" t="str">
        <f>IFERROR(VLOOKUP($B31,자재리스트!$B$4:$M$92,11,FALSE),)</f>
        <v>거래명세서</v>
      </c>
      <c r="O31" s="27">
        <f>IFERROR(VLOOKUP($B31,자재리스트!$B$4:$M$92,12,FALSE),)</f>
        <v>0</v>
      </c>
    </row>
    <row r="32" spans="1:15" ht="17.5" x14ac:dyDescent="0.45">
      <c r="C32" s="116" t="s">
        <v>78</v>
      </c>
      <c r="D32" s="116"/>
      <c r="E32" s="116"/>
      <c r="F32" s="116"/>
      <c r="G32" s="116"/>
      <c r="H32" s="116"/>
      <c r="I32" s="116"/>
      <c r="J32" s="116"/>
      <c r="K32" s="116"/>
      <c r="L32" s="116"/>
      <c r="M32" s="116"/>
      <c r="N32" s="116"/>
      <c r="O32" s="116"/>
    </row>
    <row r="33" spans="3:15" ht="17.5" x14ac:dyDescent="0.45">
      <c r="C33" s="116" t="s">
        <v>79</v>
      </c>
      <c r="D33" s="116"/>
      <c r="E33" s="116"/>
      <c r="F33" s="116"/>
      <c r="G33" s="116"/>
      <c r="H33" s="116"/>
      <c r="I33" s="116"/>
      <c r="J33" s="116"/>
      <c r="K33" s="116"/>
      <c r="L33" s="116"/>
      <c r="M33" s="116"/>
      <c r="N33" s="116"/>
      <c r="O33" s="116"/>
    </row>
  </sheetData>
  <mergeCells count="4">
    <mergeCell ref="A2:O2"/>
    <mergeCell ref="C10:D10"/>
    <mergeCell ref="C32:O32"/>
    <mergeCell ref="C33:O33"/>
  </mergeCells>
  <phoneticPr fontId="3" type="noConversion"/>
  <printOptions horizontalCentered="1"/>
  <pageMargins left="0.70866141732283472" right="0.70866141732283472" top="0.74803149606299213" bottom="0.74803149606299213" header="0.31496062992125984" footer="0.31496062992125984"/>
  <pageSetup paperSize="9" scale="67" fitToWidth="0" orientation="landscape" r:id="rId1"/>
  <headerFooter>
    <oddFooter>&amp;L_x000D_&amp;1#&amp;"Calibri"&amp;9&amp;K000000 Confidential | AVIKUS – Unauthorized distribution is strictly prohibited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6EB2-C814-4347-9809-9A77C4341410}">
  <sheetPr>
    <tabColor rgb="FFFF0000"/>
    <pageSetUpPr fitToPage="1"/>
  </sheetPr>
  <dimension ref="A1:P30"/>
  <sheetViews>
    <sheetView showGridLines="0" view="pageBreakPreview" topLeftCell="A8" zoomScaleNormal="100" zoomScaleSheetLayoutView="10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1" spans="1:16" x14ac:dyDescent="0.45">
      <c r="A1" s="34"/>
      <c r="B1" s="34"/>
      <c r="C1" s="34"/>
      <c r="D1" s="34"/>
      <c r="E1" s="34"/>
      <c r="F1" s="34"/>
      <c r="G1" s="34"/>
      <c r="H1" s="34"/>
      <c r="I1" s="34"/>
      <c r="J1" s="34"/>
      <c r="K1" s="34"/>
      <c r="L1" s="34"/>
      <c r="M1" s="34"/>
      <c r="N1" s="34"/>
      <c r="O1" s="34"/>
    </row>
    <row r="2" spans="1:16" ht="30" x14ac:dyDescent="0.75">
      <c r="A2" s="117" t="s">
        <v>38</v>
      </c>
      <c r="B2" s="117"/>
      <c r="C2" s="117"/>
      <c r="D2" s="117"/>
      <c r="E2" s="117"/>
      <c r="F2" s="117"/>
      <c r="G2" s="117"/>
      <c r="H2" s="117"/>
      <c r="I2" s="117"/>
      <c r="J2" s="117"/>
      <c r="K2" s="117"/>
      <c r="L2" s="117"/>
      <c r="M2" s="117"/>
      <c r="N2" s="117"/>
      <c r="O2" s="117"/>
    </row>
    <row r="3" spans="1:16" x14ac:dyDescent="0.45">
      <c r="A3" s="34"/>
      <c r="B3" s="34"/>
      <c r="C3" s="34" t="s">
        <v>39</v>
      </c>
      <c r="D3" s="34"/>
      <c r="E3" s="34"/>
      <c r="F3" s="34"/>
      <c r="G3" s="34"/>
      <c r="H3" s="34"/>
      <c r="I3" s="34"/>
      <c r="J3" s="34"/>
      <c r="K3" s="34"/>
      <c r="L3" s="34"/>
      <c r="M3" s="34"/>
      <c r="N3" s="34"/>
      <c r="O3" s="34"/>
    </row>
    <row r="4" spans="1:16" ht="21" customHeight="1" x14ac:dyDescent="0.45">
      <c r="A4" s="35" t="s">
        <v>40</v>
      </c>
      <c r="B4" s="19"/>
      <c r="C4" s="19" t="s">
        <v>41</v>
      </c>
      <c r="D4" s="20" t="s">
        <v>27</v>
      </c>
      <c r="E4" s="36"/>
      <c r="F4" s="36"/>
      <c r="G4" s="36"/>
      <c r="H4" s="36"/>
      <c r="I4" s="36"/>
      <c r="J4" s="36"/>
      <c r="K4" s="36"/>
      <c r="L4" s="36"/>
      <c r="M4" s="36"/>
      <c r="N4" s="36"/>
      <c r="O4" s="36"/>
    </row>
    <row r="5" spans="1:16" ht="21" customHeight="1" x14ac:dyDescent="0.45">
      <c r="A5" s="36" t="s">
        <v>43</v>
      </c>
      <c r="C5" s="16" t="s">
        <v>41</v>
      </c>
      <c r="D5" s="16" t="s">
        <v>26</v>
      </c>
      <c r="E5" s="36"/>
      <c r="F5" s="36"/>
      <c r="G5" s="36"/>
      <c r="H5" s="36"/>
      <c r="I5" s="36"/>
      <c r="J5" s="36"/>
      <c r="K5" s="36"/>
      <c r="L5" s="36"/>
      <c r="M5" s="36"/>
      <c r="N5" s="36"/>
      <c r="O5" s="36"/>
    </row>
    <row r="6" spans="1:16" ht="21" customHeight="1" x14ac:dyDescent="0.45">
      <c r="A6" s="36" t="s">
        <v>44</v>
      </c>
      <c r="C6" s="16" t="s">
        <v>41</v>
      </c>
      <c r="E6" s="36"/>
      <c r="F6" s="36"/>
      <c r="G6" s="36"/>
      <c r="H6" s="36"/>
      <c r="I6" s="36"/>
      <c r="J6" s="36"/>
      <c r="K6" s="36"/>
      <c r="L6" s="36"/>
      <c r="M6" s="36"/>
      <c r="N6" s="36"/>
      <c r="O6" s="36"/>
    </row>
    <row r="7" spans="1:16" ht="21" customHeight="1" x14ac:dyDescent="0.45">
      <c r="A7" s="36" t="s">
        <v>45</v>
      </c>
      <c r="C7" s="16" t="s">
        <v>41</v>
      </c>
      <c r="E7" s="36"/>
      <c r="F7" s="36" t="s">
        <v>39</v>
      </c>
      <c r="G7" s="36"/>
      <c r="H7" s="36"/>
      <c r="I7" s="36"/>
      <c r="J7" s="36"/>
      <c r="K7" s="36"/>
      <c r="L7" s="36"/>
      <c r="M7" s="36"/>
      <c r="N7" s="36"/>
      <c r="O7" s="36"/>
    </row>
    <row r="8" spans="1:16" ht="21" customHeight="1" x14ac:dyDescent="0.45">
      <c r="A8" s="36" t="s">
        <v>46</v>
      </c>
      <c r="E8" s="36"/>
      <c r="F8" s="36"/>
      <c r="G8" s="36"/>
      <c r="H8" s="36"/>
      <c r="I8" s="36"/>
      <c r="J8" s="36"/>
      <c r="K8" s="36"/>
      <c r="L8" s="36"/>
      <c r="M8" s="36"/>
      <c r="N8" s="36"/>
      <c r="O8" s="36"/>
    </row>
    <row r="9" spans="1:16" ht="6" customHeight="1" x14ac:dyDescent="0.45">
      <c r="A9" s="34"/>
      <c r="B9" s="34"/>
      <c r="C9" s="34"/>
      <c r="D9" s="34"/>
      <c r="E9" s="34"/>
      <c r="F9" s="34"/>
      <c r="G9" s="34"/>
      <c r="H9" s="34"/>
      <c r="I9" s="34"/>
      <c r="J9" s="34"/>
      <c r="K9" s="34"/>
      <c r="L9" s="34"/>
      <c r="M9" s="34"/>
      <c r="N9" s="34"/>
      <c r="O9" s="34"/>
    </row>
    <row r="10" spans="1:16" ht="34" x14ac:dyDescent="0.45">
      <c r="A10" s="23" t="s">
        <v>47</v>
      </c>
      <c r="B10" s="24" t="s">
        <v>48</v>
      </c>
      <c r="C10" s="114" t="s">
        <v>49</v>
      </c>
      <c r="D10" s="115"/>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63</v>
      </c>
      <c r="C11" s="28" t="str">
        <f>IFERROR(VLOOKUP($B11,자재리스트!$B$4:$M$92,2,FALSE),)</f>
        <v>Monitor</v>
      </c>
      <c r="D11" s="27"/>
      <c r="E11" s="27" t="str">
        <f>IFERROR(VLOOKUP($B11,자재리스트!$B$4:$M$92,4,FALSE),)</f>
        <v>27인치 모니터</v>
      </c>
      <c r="F11" s="27" t="str">
        <f>IFERROR(VLOOKUP($B11,자재리스트!$B$4:$M$92,5,FALSE),)</f>
        <v xml:space="preserve"> - </v>
      </c>
      <c r="G11" s="27">
        <f>IFERROR(VLOOKUP($B11,자재리스트!$B$5:$M$92,6,FALSE),)</f>
        <v>0</v>
      </c>
      <c r="H11" s="27" t="str">
        <f>IFERROR(VLOOKUP($B11,자재리스트!$B$4:$M$92,7,FALSE),)</f>
        <v>개</v>
      </c>
      <c r="I11" s="29">
        <v>1</v>
      </c>
      <c r="J11" s="29" t="str">
        <f>IFERROR(VLOOKUP($B11,자재리스트!$B$4:$M$92,8,FALSE),)</f>
        <v>KRW</v>
      </c>
      <c r="K11" s="29">
        <f>IFERROR(VLOOKUP($B11,자재리스트!$B$4:$M$92,9,FALSE),)</f>
        <v>3020000</v>
      </c>
      <c r="L11" s="29">
        <f>I11*K11</f>
        <v>3020000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IFERROR(VLOOKUP($B12,자재리스트!$B$5:$M$92,6,FALSE),)</f>
        <v>중국</v>
      </c>
      <c r="H12" s="27" t="str">
        <f>IFERROR(VLOOKUP($B12,자재리스트!$B$4:$M$92,7,FALSE),)</f>
        <v>개</v>
      </c>
      <c r="I12" s="29">
        <v>1</v>
      </c>
      <c r="J12" s="29" t="str">
        <f>IFERROR(VLOOKUP($B12,자재리스트!$B$4:$M$92,8,FALSE),)</f>
        <v>KRW</v>
      </c>
      <c r="K12" s="29">
        <f>IFERROR(VLOOKUP($B12,자재리스트!$B$4:$M$92,9,FALSE),)</f>
        <v>3320000</v>
      </c>
      <c r="L12" s="29">
        <f t="shared" ref="L12:L18" si="0">I12*K12</f>
        <v>3320000</v>
      </c>
      <c r="M12" s="27" t="str">
        <f>IFERROR(VLOOKUP($B12,자재리스트!$B$4:$M$92,10,FALSE),)</f>
        <v>테트라다인</v>
      </c>
      <c r="N12" s="27" t="str">
        <f>IFERROR(VLOOKUP($B12,자재리스트!$B$4:$M$92,11,FALSE),)</f>
        <v>거래명세서</v>
      </c>
      <c r="O12" s="27" t="str">
        <f>IFERROR(VLOOKUP($B12,자재리스트!$B$4:$M$92,12,FALSE),)</f>
        <v xml:space="preserve"> - </v>
      </c>
      <c r="P12" s="30"/>
    </row>
    <row r="13" spans="1:16" ht="25.25" customHeight="1" x14ac:dyDescent="0.45">
      <c r="A13" s="26">
        <v>3</v>
      </c>
      <c r="B13" s="27" t="s">
        <v>100</v>
      </c>
      <c r="C13" s="28" t="str">
        <f>IFERROR(VLOOKUP($B13,자재리스트!$B$4:$M$92,2,FALSE),)</f>
        <v>IP camera</v>
      </c>
      <c r="D13" s="27"/>
      <c r="E13" s="27" t="str">
        <f>IFERROR(VLOOKUP($B13,자재리스트!$B$4:$M$92,4,FALSE),)</f>
        <v>카메라</v>
      </c>
      <c r="F13" s="27" t="str">
        <f>IFERROR(VLOOKUP($B13,자재리스트!$B$4:$M$92,5,FALSE),)</f>
        <v xml:space="preserve"> - </v>
      </c>
      <c r="G13" s="27" t="str">
        <f>IFERROR(VLOOKUP($B13,자재리스트!$B$5:$M$92,6,FALSE),)</f>
        <v>한국</v>
      </c>
      <c r="H13" s="27" t="str">
        <f>IFERROR(VLOOKUP($B13,자재리스트!$B$4:$M$92,7,FALSE),)</f>
        <v>개</v>
      </c>
      <c r="I13" s="29">
        <v>6</v>
      </c>
      <c r="J13" s="29" t="str">
        <f>IFERROR(VLOOKUP($B13,자재리스트!$B$4:$M$92,8,FALSE),)</f>
        <v>KRW</v>
      </c>
      <c r="K13" s="29">
        <f>IFERROR(VLOOKUP($B13,자재리스트!$B$4:$M$92,9,FALSE),)</f>
        <v>1500000</v>
      </c>
      <c r="L13" s="29">
        <f t="shared" si="0"/>
        <v>9000000</v>
      </c>
      <c r="M13" s="27" t="str">
        <f>IFERROR(VLOOKUP($B13,자재리스트!$B$4:$M$92,10,FALSE),)</f>
        <v>아르게스마린</v>
      </c>
      <c r="N13" s="27" t="str">
        <f>IFERROR(VLOOKUP($B13,자재리스트!$B$4:$M$92,11,FALSE),)</f>
        <v>거래명세서</v>
      </c>
      <c r="O13" s="27" t="str">
        <f>IFERROR(VLOOKUP($B13,자재리스트!$B$4:$M$92,12,FALSE),)</f>
        <v xml:space="preserve"> - </v>
      </c>
    </row>
    <row r="14" spans="1:16" ht="25.25" customHeight="1" x14ac:dyDescent="0.45">
      <c r="A14" s="26">
        <v>5</v>
      </c>
      <c r="B14" s="37" t="s">
        <v>101</v>
      </c>
      <c r="C14" s="38" t="str">
        <f>IFERROR(VLOOKUP($B14,자재리스트!$B$4:$M$92,2,FALSE),)</f>
        <v>Network PoE Switch</v>
      </c>
      <c r="D14" s="37"/>
      <c r="E14" s="37" t="str">
        <f>IFERROR(VLOOKUP($B14,자재리스트!$B$4:$M$92,4,FALSE),)</f>
        <v>IP 카메라에 전원 공급</v>
      </c>
      <c r="F14" s="37" t="str">
        <f>IFERROR(VLOOKUP($B14,자재리스트!$B$4:$M$92,5,FALSE),)</f>
        <v xml:space="preserve"> - </v>
      </c>
      <c r="G14" s="37" t="str">
        <f>IFERROR(VLOOKUP($B14,자재리스트!$B$5:$M$92,6,FALSE),)</f>
        <v>한국</v>
      </c>
      <c r="H14" s="37" t="str">
        <f>IFERROR(VLOOKUP($B14,자재리스트!$B$4:$M$92,7,FALSE),)</f>
        <v>개</v>
      </c>
      <c r="I14" s="39">
        <v>1</v>
      </c>
      <c r="J14" s="39" t="str">
        <f>IFERROR(VLOOKUP($B14,자재리스트!$B$4:$M$92,8,FALSE),)</f>
        <v>KRW</v>
      </c>
      <c r="K14" s="39">
        <f>IFERROR(VLOOKUP($B14,자재리스트!$B$4:$M$92,9,FALSE),)</f>
        <v>2213000</v>
      </c>
      <c r="L14" s="39">
        <f t="shared" si="0"/>
        <v>2213000</v>
      </c>
      <c r="M14" s="37" t="str">
        <f>IFERROR(VLOOKUP($B14,자재리스트!$B$4:$M$92,10,FALSE),)</f>
        <v>여의시스템</v>
      </c>
      <c r="N14" s="37" t="str">
        <f>IFERROR(VLOOKUP($B14,자재리스트!$B$4:$M$92,11,FALSE),)</f>
        <v>거래명세서</v>
      </c>
      <c r="O14" s="37" t="str">
        <f>IFERROR(VLOOKUP($B14,자재리스트!$B$4:$M$92,12,FALSE),)</f>
        <v xml:space="preserve"> - </v>
      </c>
    </row>
    <row r="15" spans="1:16" ht="25.25" customHeight="1" x14ac:dyDescent="0.45">
      <c r="A15" s="26">
        <v>6</v>
      </c>
      <c r="B15" s="27" t="s">
        <v>74</v>
      </c>
      <c r="C15" s="28" t="str">
        <f>IFERROR(VLOOKUP($B15,자재리스트!$B$4:$M$92,2,FALSE),)</f>
        <v>Network switch</v>
      </c>
      <c r="D15" s="27"/>
      <c r="E15" s="27" t="str">
        <f>IFERROR(VLOOKUP($B15,자재리스트!$B$4:$M$92,4,FALSE),)</f>
        <v>허브 (선급인증품)</v>
      </c>
      <c r="F15" s="27" t="str">
        <f>IFERROR(VLOOKUP($B15,자재리스트!$B$4:$M$92,5,FALSE),)</f>
        <v xml:space="preserve"> - </v>
      </c>
      <c r="G15" s="27" t="str">
        <f>IFERROR(VLOOKUP($B15,자재리스트!$B$5:$M$92,6,FALSE),)</f>
        <v>한국</v>
      </c>
      <c r="H15" s="27" t="str">
        <f>IFERROR(VLOOKUP($B15,자재리스트!$B$4:$M$92,7,FALSE),)</f>
        <v>개</v>
      </c>
      <c r="I15" s="29">
        <v>1</v>
      </c>
      <c r="J15" s="29" t="str">
        <f>IFERROR(VLOOKUP($B15,자재리스트!$B$4:$M$92,8,FALSE),)</f>
        <v>KRW</v>
      </c>
      <c r="K15" s="29">
        <f>IFERROR(VLOOKUP($B15,자재리스트!$B$4:$M$92,9,FALSE),)</f>
        <v>1596000</v>
      </c>
      <c r="L15" s="29">
        <f t="shared" si="0"/>
        <v>1596000</v>
      </c>
      <c r="M15" s="27" t="str">
        <f>IFERROR(VLOOKUP($B15,자재리스트!$B$4:$M$92,10,FALSE),)</f>
        <v>여의시스템</v>
      </c>
      <c r="N15" s="27" t="str">
        <f>IFERROR(VLOOKUP($B15,자재리스트!$B$4:$M$92,11,FALSE),)</f>
        <v>거래명세서</v>
      </c>
      <c r="O15" s="27" t="str">
        <f>IFERROR(VLOOKUP($B15,자재리스트!$B$4:$M$92,12,FALSE),)</f>
        <v xml:space="preserve"> - </v>
      </c>
    </row>
    <row r="16" spans="1:16" ht="25.25" customHeight="1" x14ac:dyDescent="0.45">
      <c r="A16" s="26">
        <v>7</v>
      </c>
      <c r="B16" s="40" t="s">
        <v>102</v>
      </c>
      <c r="C16" s="28" t="str">
        <f>IFERROR(VLOOKUP($B16,자재리스트!$B$4:$M$92,2,FALSE),)</f>
        <v>Junction Box</v>
      </c>
      <c r="D16" s="27"/>
      <c r="E16" s="27" t="str">
        <f>IFERROR(VLOOKUP($B16,자재리스트!$B$4:$M$92,4,FALSE),)</f>
        <v>PoE Extender 용</v>
      </c>
      <c r="F16" s="27" t="str">
        <f>IFERROR(VLOOKUP($B16,자재리스트!$B$4:$M$92,5,FALSE),)</f>
        <v xml:space="preserve"> - </v>
      </c>
      <c r="G16" s="27" t="str">
        <f>IFERROR(VLOOKUP($B16,자재리스트!$B$5:$M$92,6,FALSE),)</f>
        <v>한국</v>
      </c>
      <c r="H16" s="27" t="str">
        <f>IFERROR(VLOOKUP($B16,자재리스트!$B$4:$M$92,7,FALSE),)</f>
        <v>개</v>
      </c>
      <c r="I16" s="29">
        <v>1</v>
      </c>
      <c r="J16" s="29" t="str">
        <f>IFERROR(VLOOKUP($B16,자재리스트!$B$4:$M$92,8,FALSE),)</f>
        <v>KRW</v>
      </c>
      <c r="K16" s="29">
        <f>IFERROR(VLOOKUP($B16,자재리스트!$B$4:$M$92,9,FALSE),)</f>
        <v>505000</v>
      </c>
      <c r="L16" s="29">
        <f>I16*K16</f>
        <v>505000</v>
      </c>
      <c r="M16" s="27" t="str">
        <f>IFERROR(VLOOKUP($B16,자재리스트!$B$4:$M$92,10,FALSE),)</f>
        <v>MRC</v>
      </c>
      <c r="N16" s="27" t="str">
        <f>IFERROR(VLOOKUP($B16,자재리스트!$B$4:$M$92,11,FALSE),)</f>
        <v>거래명세서</v>
      </c>
      <c r="O16" s="27" t="str">
        <f>IFERROR(VLOOKUP($B16,자재리스트!$B$4:$M$92,12,FALSE),)</f>
        <v>명판 포함</v>
      </c>
    </row>
    <row r="17" spans="1:15" ht="25.25" customHeight="1" x14ac:dyDescent="0.45">
      <c r="A17" s="26">
        <v>8</v>
      </c>
      <c r="B17" s="41" t="s">
        <v>103</v>
      </c>
      <c r="C17" s="42" t="str">
        <f>IFERROR(VLOOKUP($B17,자재리스트!$B$4:$M$92,2,FALSE),)</f>
        <v>PoE-Extender</v>
      </c>
      <c r="D17" s="27"/>
      <c r="E17" s="27" t="str">
        <f>IFERROR(VLOOKUP($B17,자재리스트!$B$4:$M$92,4,FALSE),)</f>
        <v>LAN 통신 거리 연장</v>
      </c>
      <c r="F17" s="27" t="str">
        <f>IFERROR(VLOOKUP($B17,자재리스트!$B$4:$M$92,5,FALSE),)</f>
        <v xml:space="preserve"> - </v>
      </c>
      <c r="G17" s="27" t="str">
        <f>IFERROR(VLOOKUP($B17,자재리스트!$B$5:$M$92,6,FALSE),)</f>
        <v>한국</v>
      </c>
      <c r="H17" s="27" t="str">
        <f>IFERROR(VLOOKUP($B17,자재리스트!$B$4:$M$92,7,FALSE),)</f>
        <v>개</v>
      </c>
      <c r="I17" s="29">
        <v>1</v>
      </c>
      <c r="J17" s="29" t="str">
        <f>IFERROR(VLOOKUP($B17,자재리스트!$B$4:$M$92,8,FALSE),)</f>
        <v>KRW</v>
      </c>
      <c r="K17" s="29">
        <f>IFERROR(VLOOKUP($B17,자재리스트!$B$4:$M$92,9,FALSE),)</f>
        <v>310000</v>
      </c>
      <c r="L17" s="29">
        <f t="shared" si="0"/>
        <v>310000</v>
      </c>
      <c r="M17" s="27" t="str">
        <f>IFERROR(VLOOKUP($B17,자재리스트!$B$4:$M$92,10,FALSE),)</f>
        <v>아르게스마린</v>
      </c>
      <c r="N17" s="27" t="str">
        <f>IFERROR(VLOOKUP($B17,자재리스트!$B$4:$M$92,11,FALSE),)</f>
        <v>거래명세서</v>
      </c>
      <c r="O17" s="27" t="str">
        <f>IFERROR(VLOOKUP($B17,자재리스트!$B$4:$M$92,12,FALSE),)</f>
        <v xml:space="preserve"> - </v>
      </c>
    </row>
    <row r="18" spans="1:15" ht="25.25" customHeight="1" x14ac:dyDescent="0.45">
      <c r="A18" s="26">
        <v>9</v>
      </c>
      <c r="B18" s="41" t="s">
        <v>104</v>
      </c>
      <c r="C18" s="42" t="str">
        <f>IFERROR(VLOOKUP($B18,자재리스트!$B$4:$M$92,2,FALSE),)</f>
        <v>UNO2-PS-1AC-48DC-240W</v>
      </c>
      <c r="D18" s="27"/>
      <c r="E18" s="27" t="str">
        <f>IFERROR(VLOOKUP($B18,자재리스트!$B$4:$M$92,4,FALSE),)</f>
        <v>PoE HUB용 240W 파워 서플라이</v>
      </c>
      <c r="F18" s="27" t="str">
        <f>IFERROR(VLOOKUP($B18,자재리스트!$B$4:$M$92,5,FALSE),)</f>
        <v xml:space="preserve"> - </v>
      </c>
      <c r="G18" s="27" t="str">
        <f>IFERROR(VLOOKUP($B18,자재리스트!$B$5:$M$92,6,FALSE),)</f>
        <v>한국</v>
      </c>
      <c r="H18" s="27" t="str">
        <f>IFERROR(VLOOKUP($B18,자재리스트!$B$4:$M$92,7,FALSE),)</f>
        <v>개</v>
      </c>
      <c r="I18" s="29">
        <v>2</v>
      </c>
      <c r="J18" s="29" t="str">
        <f>IFERROR(VLOOKUP($B18,자재리스트!$B$4:$M$92,8,FALSE),)</f>
        <v>KRW</v>
      </c>
      <c r="K18" s="29">
        <f>IFERROR(VLOOKUP($B18,자재리스트!$B$4:$M$92,9,FALSE),)</f>
        <v>145000</v>
      </c>
      <c r="L18" s="29">
        <f t="shared" si="0"/>
        <v>290000</v>
      </c>
      <c r="M18" s="27" t="str">
        <f>IFERROR(VLOOKUP($B18,자재리스트!$B$4:$M$92,10,FALSE),)</f>
        <v>세종전자</v>
      </c>
      <c r="N18" s="27" t="str">
        <f>IFERROR(VLOOKUP($B18,자재리스트!$B$4:$M$92,11,FALSE),)</f>
        <v>거래명세서</v>
      </c>
      <c r="O18" s="27" t="str">
        <f>IFERROR(VLOOKUP($B18,자재리스트!$B$4:$M$92,12,FALSE),)</f>
        <v xml:space="preserve"> - </v>
      </c>
    </row>
    <row r="19" spans="1:15" ht="25.25" customHeight="1" x14ac:dyDescent="0.45">
      <c r="A19" s="26">
        <v>10</v>
      </c>
      <c r="B19" s="37" t="s">
        <v>105</v>
      </c>
      <c r="C19" s="42" t="str">
        <f>IFERROR(VLOOKUP($B19,자재리스트!$B$4:$M$92,2,FALSE),)</f>
        <v>Junction Box</v>
      </c>
      <c r="D19" s="27"/>
      <c r="E19" s="27" t="str">
        <f>IFERROR(VLOOKUP($B19,자재리스트!$B$4:$M$92,4,FALSE),)</f>
        <v>LRP Injector용</v>
      </c>
      <c r="F19" s="27" t="str">
        <f>IFERROR(VLOOKUP($B19,자재리스트!$B$4:$M$92,5,FALSE),)</f>
        <v xml:space="preserve"> - </v>
      </c>
      <c r="G19" s="27" t="str">
        <f>IFERROR(VLOOKUP($B19,자재리스트!$B$5:$M$92,6,FALSE),)</f>
        <v>한국</v>
      </c>
      <c r="H19" s="27" t="str">
        <f>IFERROR(VLOOKUP($B19,자재리스트!$B$4:$M$92,7,FALSE),)</f>
        <v>개</v>
      </c>
      <c r="I19" s="29">
        <v>5</v>
      </c>
      <c r="J19" s="29" t="str">
        <f>IFERROR(VLOOKUP($B19,자재리스트!$B$4:$M$92,8,FALSE),)</f>
        <v>KRW</v>
      </c>
      <c r="K19" s="29">
        <f>IFERROR(VLOOKUP($B19,자재리스트!$B$4:$M$92,9,FALSE),)</f>
        <v>505000</v>
      </c>
      <c r="L19" s="29">
        <f>I19*K19</f>
        <v>2525000</v>
      </c>
      <c r="M19" s="27" t="str">
        <f>IFERROR(VLOOKUP($B19,자재리스트!$B$4:$M$92,10,FALSE),)</f>
        <v>MRC</v>
      </c>
      <c r="N19" s="27" t="str">
        <f>IFERROR(VLOOKUP($B19,자재리스트!$B$4:$M$92,11,FALSE),)</f>
        <v>거래명세서</v>
      </c>
      <c r="O19" s="27" t="str">
        <f>IFERROR(VLOOKUP($B19,자재리스트!$B$4:$M$92,12,FALSE),)</f>
        <v>명판 포함</v>
      </c>
    </row>
    <row r="20" spans="1:15" ht="25.25" customHeight="1" x14ac:dyDescent="0.45">
      <c r="A20" s="26">
        <v>11</v>
      </c>
      <c r="B20" s="37" t="s">
        <v>106</v>
      </c>
      <c r="C20" s="42" t="str">
        <f>IFERROR(VLOOKUP($B20,자재리스트!$B$4:$M$92,2,FALSE),)</f>
        <v>Junction Box</v>
      </c>
      <c r="D20" s="27"/>
      <c r="E20" s="27" t="str">
        <f>IFERROR(VLOOKUP($B20,자재리스트!$B$4:$M$92,4,FALSE),)</f>
        <v>LRP Extender용</v>
      </c>
      <c r="F20" s="27" t="str">
        <f>IFERROR(VLOOKUP($B20,자재리스트!$B$4:$M$92,5,FALSE),)</f>
        <v xml:space="preserve"> - </v>
      </c>
      <c r="G20" s="27" t="str">
        <f>IFERROR(VLOOKUP($B20,자재리스트!$B$5:$M$92,6,FALSE),)</f>
        <v>한국</v>
      </c>
      <c r="H20" s="27" t="str">
        <f>IFERROR(VLOOKUP($B20,자재리스트!$B$4:$M$92,7,FALSE),)</f>
        <v>개</v>
      </c>
      <c r="I20" s="29">
        <v>5</v>
      </c>
      <c r="J20" s="29" t="str">
        <f>IFERROR(VLOOKUP($B20,자재리스트!$B$4:$M$92,8,FALSE),)</f>
        <v>KRW</v>
      </c>
      <c r="K20" s="29">
        <f>IFERROR(VLOOKUP($B20,자재리스트!$B$4:$M$92,9,FALSE),)</f>
        <v>505000</v>
      </c>
      <c r="L20" s="29">
        <f>I20*K20</f>
        <v>2525000</v>
      </c>
      <c r="M20" s="27" t="str">
        <f>IFERROR(VLOOKUP($B20,자재리스트!$B$4:$M$92,10,FALSE),)</f>
        <v>MRC</v>
      </c>
      <c r="N20" s="27" t="str">
        <f>IFERROR(VLOOKUP($B20,자재리스트!$B$4:$M$92,11,FALSE),)</f>
        <v>거래명세서</v>
      </c>
      <c r="O20" s="27" t="str">
        <f>IFERROR(VLOOKUP($B20,자재리스트!$B$4:$M$92,12,FALSE),)</f>
        <v>명판 포함</v>
      </c>
    </row>
    <row r="21" spans="1:15" ht="25.25" customHeight="1" x14ac:dyDescent="0.45">
      <c r="A21" s="26">
        <v>12</v>
      </c>
      <c r="B21" s="41" t="s">
        <v>107</v>
      </c>
      <c r="C21" s="42" t="str">
        <f>IFERROR(VLOOKUP($B21,자재리스트!$B$4:$M$92,2,FALSE),)</f>
        <v>LRP</v>
      </c>
      <c r="D21" s="27"/>
      <c r="E21" s="27" t="str">
        <f>IFERROR(VLOOKUP($B21,자재리스트!$B$4:$M$92,4,FALSE),)</f>
        <v>LAN 통신 거리 연장 및 전원공급</v>
      </c>
      <c r="F21" s="27" t="str">
        <f>IFERROR(VLOOKUP($B21,자재리스트!$B$4:$M$92,5,FALSE),)</f>
        <v xml:space="preserve"> - </v>
      </c>
      <c r="G21" s="27" t="str">
        <f>IFERROR(VLOOKUP($B21,자재리스트!$B$5:$M$92,6,FALSE),)</f>
        <v>한국</v>
      </c>
      <c r="H21" s="27" t="str">
        <f>IFERROR(VLOOKUP($B21,자재리스트!$B$4:$M$92,7,FALSE),)</f>
        <v>세트</v>
      </c>
      <c r="I21" s="29">
        <v>5</v>
      </c>
      <c r="J21" s="29" t="str">
        <f>IFERROR(VLOOKUP($B21,자재리스트!$B$4:$M$92,8,FALSE),)</f>
        <v>KRW</v>
      </c>
      <c r="K21" s="29">
        <f>IFERROR(VLOOKUP($B21,자재리스트!$B$4:$M$92,9,FALSE),)</f>
        <v>292000</v>
      </c>
      <c r="L21" s="29">
        <f>I21*K21</f>
        <v>1460000</v>
      </c>
      <c r="M21" s="27" t="str">
        <f>IFERROR(VLOOKUP($B21,자재리스트!$B$4:$M$92,10,FALSE),)</f>
        <v>제씨테크</v>
      </c>
      <c r="N21" s="27" t="str">
        <f>IFERROR(VLOOKUP($B21,자재리스트!$B$4:$M$92,11,FALSE),)</f>
        <v>거래명세서</v>
      </c>
      <c r="O21" s="27" t="str">
        <f>IFERROR(VLOOKUP($B21,자재리스트!$B$4:$M$92,12,FALSE),)</f>
        <v>w. SMPS</v>
      </c>
    </row>
    <row r="22" spans="1:15" ht="25.25" customHeight="1" x14ac:dyDescent="0.45">
      <c r="A22" s="26">
        <v>13</v>
      </c>
      <c r="B22" s="43" t="s">
        <v>108</v>
      </c>
      <c r="C22" s="44" t="str">
        <f>IFERROR(VLOOKUP($B22,자재리스트!$B$4:$M$92,2,FALSE),)</f>
        <v>UNO-PS-1AC-48DC-60W</v>
      </c>
      <c r="D22" s="40"/>
      <c r="E22" s="40" t="str">
        <f>IFERROR(VLOOKUP($B22,자재리스트!$B$4:$M$92,4,FALSE),)</f>
        <v>LRP용 60W 파워 서플라이</v>
      </c>
      <c r="F22" s="40" t="str">
        <f>IFERROR(VLOOKUP($B22,자재리스트!$B$4:$M$92,5,FALSE),)</f>
        <v xml:space="preserve"> - </v>
      </c>
      <c r="G22" s="40" t="str">
        <f>IFERROR(VLOOKUP($B22,자재리스트!$B$5:$M$92,6,FALSE),)</f>
        <v>한국</v>
      </c>
      <c r="H22" s="40" t="str">
        <f>IFERROR(VLOOKUP($B22,자재리스트!$B$4:$M$92,7,FALSE),)</f>
        <v>개</v>
      </c>
      <c r="I22" s="45">
        <v>6</v>
      </c>
      <c r="J22" s="45" t="str">
        <f>IFERROR(VLOOKUP($B22,자재리스트!$B$4:$M$92,8,FALSE),)</f>
        <v>KRW</v>
      </c>
      <c r="K22" s="45">
        <f>IFERROR(VLOOKUP($B22,자재리스트!$B$4:$M$92,9,FALSE),)</f>
        <v>110000</v>
      </c>
      <c r="L22" s="45">
        <f>I22*K22</f>
        <v>660000</v>
      </c>
      <c r="M22" s="40" t="str">
        <f>IFERROR(VLOOKUP($B22,자재리스트!$B$4:$M$92,10,FALSE),)</f>
        <v>세종전자</v>
      </c>
      <c r="N22" s="40" t="str">
        <f>IFERROR(VLOOKUP($B22,자재리스트!$B$4:$M$92,11,FALSE),)</f>
        <v>거래명세서</v>
      </c>
      <c r="O22" s="40" t="str">
        <f>IFERROR(VLOOKUP($B22,자재리스트!$B$4:$M$92,12,FALSE),)</f>
        <v xml:space="preserve"> - </v>
      </c>
    </row>
    <row r="23" spans="1:15" ht="25.25" customHeight="1" x14ac:dyDescent="0.45">
      <c r="A23" s="26">
        <v>14</v>
      </c>
      <c r="B23" s="41" t="s">
        <v>109</v>
      </c>
      <c r="C23" s="44" t="str">
        <f>IFERROR(VLOOKUP($B23,자재리스트!$B$4:$M$92,2,FALSE),)</f>
        <v>24V SMPS</v>
      </c>
      <c r="D23" s="40"/>
      <c r="E23" s="40" t="str">
        <f>IFERROR(VLOOKUP($B23,자재리스트!$B$4:$M$92,4,FALSE),)</f>
        <v>Network Switch, Serial to Ethernet용</v>
      </c>
      <c r="F23" s="40">
        <f>IFERROR(VLOOKUP($B23,자재리스트!$B$4:$M$92,5,FALSE),)</f>
        <v>0</v>
      </c>
      <c r="G23" s="40" t="str">
        <f>IFERROR(VLOOKUP($B23,자재리스트!$B$5:$M$92,6,FALSE),)</f>
        <v>한국</v>
      </c>
      <c r="H23" s="40" t="str">
        <f>IFERROR(VLOOKUP($B23,자재리스트!$B$4:$M$92,7,FALSE),)</f>
        <v>개</v>
      </c>
      <c r="I23" s="45">
        <v>1</v>
      </c>
      <c r="J23" s="45" t="str">
        <f>IFERROR(VLOOKUP($B23,자재리스트!$B$4:$M$92,8,FALSE),)</f>
        <v>KRW</v>
      </c>
      <c r="K23" s="45">
        <f>IFERROR(VLOOKUP($B23,자재리스트!$B$4:$M$92,9,FALSE),)</f>
        <v>25000</v>
      </c>
      <c r="L23" s="45">
        <f t="shared" ref="L23:L26" si="1">I23*K23</f>
        <v>25000</v>
      </c>
      <c r="M23" s="40" t="str">
        <f>IFERROR(VLOOKUP($B23,자재리스트!$B$4:$M$92,10,FALSE),)</f>
        <v>쿠팡</v>
      </c>
      <c r="N23" s="40" t="str">
        <f>IFERROR(VLOOKUP($B23,자재리스트!$B$4:$M$92,11,FALSE),)</f>
        <v>거래명세서</v>
      </c>
      <c r="O23" s="40" t="str">
        <f>IFERROR(VLOOKUP($B23,자재리스트!$B$4:$M$92,12,FALSE),)</f>
        <v xml:space="preserve"> - </v>
      </c>
    </row>
    <row r="24" spans="1:15" ht="25.25" customHeight="1" x14ac:dyDescent="0.45">
      <c r="A24" s="26">
        <v>15</v>
      </c>
      <c r="B24" s="37" t="s">
        <v>75</v>
      </c>
      <c r="C24" s="44" t="str">
        <f>IFERROR(VLOOKUP($B24,자재리스트!$B$4:$M$92,2,FALSE),)</f>
        <v>UPS</v>
      </c>
      <c r="D24" s="40"/>
      <c r="E24" s="40" t="str">
        <f>IFERROR(VLOOKUP($B24,자재리스트!$B$4:$M$92,4,FALSE),)</f>
        <v>1kVA, 무정전 전원 공급, Stand type</v>
      </c>
      <c r="F24" s="40" t="str">
        <f>IFERROR(VLOOKUP($B24,자재리스트!$B$4:$M$92,5,FALSE),)</f>
        <v xml:space="preserve"> - </v>
      </c>
      <c r="G24" s="40" t="str">
        <f>IFERROR(VLOOKUP($B24,자재리스트!$B$5:$M$92,6,FALSE),)</f>
        <v>한국</v>
      </c>
      <c r="H24" s="40" t="str">
        <f>IFERROR(VLOOKUP($B24,자재리스트!$B$4:$M$92,7,FALSE),)</f>
        <v>개</v>
      </c>
      <c r="I24" s="45">
        <v>1</v>
      </c>
      <c r="J24" s="45" t="str">
        <f>IFERROR(VLOOKUP($B24,자재리스트!$B$4:$M$92,8,FALSE),)</f>
        <v>KRW</v>
      </c>
      <c r="K24" s="45">
        <f>IFERROR(VLOOKUP($B24,자재리스트!$B$4:$M$92,9,FALSE),)</f>
        <v>1325500</v>
      </c>
      <c r="L24" s="45">
        <f t="shared" si="1"/>
        <v>1325500</v>
      </c>
      <c r="M24" s="40" t="str">
        <f>IFERROR(VLOOKUP($B24,자재리스트!$B$4:$M$92,10,FALSE),)</f>
        <v>기호티이에스</v>
      </c>
      <c r="N24" s="40" t="str">
        <f>IFERROR(VLOOKUP($B24,자재리스트!$B$4:$M$92,11,FALSE),)</f>
        <v>거래명세서</v>
      </c>
      <c r="O24" s="40" t="str">
        <f>IFERROR(VLOOKUP($B24,자재리스트!$B$4:$M$92,12,FALSE),)</f>
        <v>마린필터, network card, 케이블 포함</v>
      </c>
    </row>
    <row r="25" spans="1:15" ht="25.25" customHeight="1" x14ac:dyDescent="0.45">
      <c r="A25" s="26">
        <v>16</v>
      </c>
      <c r="B25" s="37" t="s">
        <v>76</v>
      </c>
      <c r="C25" s="44" t="str">
        <f>IFERROR(VLOOKUP($B25,자재리스트!$B$4:$M$92,2,FALSE),)</f>
        <v>멀티탭</v>
      </c>
      <c r="D25" s="40"/>
      <c r="E25" s="40" t="str">
        <f>IFERROR(VLOOKUP($B25,자재리스트!$B$4:$M$92,4,FALSE),)</f>
        <v>UPS용</v>
      </c>
      <c r="F25" s="40" t="str">
        <f>IFERROR(VLOOKUP($B25,자재리스트!$B$4:$M$92,5,FALSE),)</f>
        <v xml:space="preserve"> - </v>
      </c>
      <c r="G25" s="40" t="str">
        <f>IFERROR(VLOOKUP($B25,자재리스트!$B$5:$M$92,6,FALSE),)</f>
        <v>한국</v>
      </c>
      <c r="H25" s="40" t="str">
        <f>IFERROR(VLOOKUP($B25,자재리스트!$B$4:$M$92,7,FALSE),)</f>
        <v>개</v>
      </c>
      <c r="I25" s="45">
        <v>2</v>
      </c>
      <c r="J25" s="45" t="str">
        <f>IFERROR(VLOOKUP($B25,자재리스트!$B$4:$M$92,8,FALSE),)</f>
        <v>KRW</v>
      </c>
      <c r="K25" s="45">
        <f>IFERROR(VLOOKUP($B25,자재리스트!$B$4:$M$92,9,FALSE),)</f>
        <v>10800</v>
      </c>
      <c r="L25" s="45">
        <f t="shared" si="1"/>
        <v>21600</v>
      </c>
      <c r="M25" s="40" t="str">
        <f>IFERROR(VLOOKUP($B25,자재리스트!$B$4:$M$92,10,FALSE),)</f>
        <v>쿠팡</v>
      </c>
      <c r="N25" s="40" t="str">
        <f>IFERROR(VLOOKUP($B25,자재리스트!$B$4:$M$92,11,FALSE),)</f>
        <v>거래명세서</v>
      </c>
      <c r="O25" s="40" t="str">
        <f>IFERROR(VLOOKUP($B25,자재리스트!$B$4:$M$92,12,FALSE),)</f>
        <v xml:space="preserve"> - </v>
      </c>
    </row>
    <row r="26" spans="1:15" ht="25.25" customHeight="1" x14ac:dyDescent="0.45">
      <c r="A26" s="26">
        <v>17</v>
      </c>
      <c r="B26" s="37" t="s">
        <v>77</v>
      </c>
      <c r="C26" s="44" t="str">
        <f>IFERROR(VLOOKUP($B26,자재리스트!$B$4:$M$92,2,FALSE),)</f>
        <v>C13-C14(MALE)</v>
      </c>
      <c r="D26" s="40"/>
      <c r="E26" s="40" t="str">
        <f>IFERROR(VLOOKUP($B26,자재리스트!$B$4:$M$92,4,FALSE),)</f>
        <v>UPS용</v>
      </c>
      <c r="F26" s="40" t="str">
        <f>IFERROR(VLOOKUP($B26,자재리스트!$B$4:$M$92,5,FALSE),)</f>
        <v xml:space="preserve"> - </v>
      </c>
      <c r="G26" s="40" t="str">
        <f>IFERROR(VLOOKUP($B26,자재리스트!$B$5:$M$92,6,FALSE),)</f>
        <v>한국</v>
      </c>
      <c r="H26" s="40" t="str">
        <f>IFERROR(VLOOKUP($B26,자재리스트!$B$4:$M$92,7,FALSE),)</f>
        <v>개</v>
      </c>
      <c r="I26" s="45">
        <v>3</v>
      </c>
      <c r="J26" s="45" t="str">
        <f>IFERROR(VLOOKUP($B26,자재리스트!$B$4:$M$92,8,FALSE),)</f>
        <v>KRW</v>
      </c>
      <c r="K26" s="45">
        <f>IFERROR(VLOOKUP($B26,자재리스트!$B$4:$M$92,9,FALSE),)</f>
        <v>9900</v>
      </c>
      <c r="L26" s="45">
        <f t="shared" si="1"/>
        <v>29700</v>
      </c>
      <c r="M26" s="40" t="str">
        <f>IFERROR(VLOOKUP($B26,자재리스트!$B$4:$M$92,10,FALSE),)</f>
        <v>한주전자</v>
      </c>
      <c r="N26" s="40" t="str">
        <f>IFERROR(VLOOKUP($B26,자재리스트!$B$4:$M$92,11,FALSE),)</f>
        <v>거래명세서</v>
      </c>
      <c r="O26" s="40" t="str">
        <f>IFERROR(VLOOKUP($B26,자재리스트!$B$4:$M$92,12,FALSE),)</f>
        <v xml:space="preserve"> - </v>
      </c>
    </row>
    <row r="27" spans="1:15" ht="24.75" customHeight="1" x14ac:dyDescent="0.45">
      <c r="A27" s="17"/>
      <c r="B27" s="31"/>
      <c r="C27" s="32"/>
      <c r="D27" s="31"/>
      <c r="E27" s="31"/>
      <c r="F27" s="31"/>
      <c r="G27" s="31"/>
      <c r="H27" s="31"/>
      <c r="I27" s="33"/>
      <c r="J27" s="33"/>
      <c r="K27" s="33"/>
      <c r="L27" s="33"/>
      <c r="M27" s="31"/>
      <c r="N27" s="31"/>
      <c r="O27" s="31"/>
    </row>
    <row r="28" spans="1:15" ht="17.5" x14ac:dyDescent="0.45">
      <c r="A28" s="34"/>
      <c r="B28" s="34"/>
      <c r="C28" s="118" t="s">
        <v>78</v>
      </c>
      <c r="D28" s="118"/>
      <c r="E28" s="118"/>
      <c r="F28" s="118"/>
      <c r="G28" s="118"/>
      <c r="H28" s="118"/>
      <c r="I28" s="118"/>
      <c r="J28" s="118"/>
      <c r="K28" s="118"/>
      <c r="L28" s="118"/>
      <c r="M28" s="118"/>
      <c r="N28" s="118"/>
      <c r="O28" s="118"/>
    </row>
    <row r="29" spans="1:15" ht="17.5" x14ac:dyDescent="0.45">
      <c r="A29" s="34"/>
      <c r="B29" s="34"/>
      <c r="C29" s="118" t="s">
        <v>79</v>
      </c>
      <c r="D29" s="118"/>
      <c r="E29" s="118"/>
      <c r="F29" s="118"/>
      <c r="G29" s="118"/>
      <c r="H29" s="118"/>
      <c r="I29" s="118"/>
      <c r="J29" s="118"/>
      <c r="K29" s="118"/>
      <c r="L29" s="118"/>
      <c r="M29" s="118"/>
      <c r="N29" s="118"/>
      <c r="O29" s="118"/>
    </row>
    <row r="30" spans="1:15" x14ac:dyDescent="0.45">
      <c r="A30" s="34"/>
      <c r="B30" s="34"/>
      <c r="C30" s="34"/>
      <c r="D30" s="34"/>
      <c r="E30" s="34"/>
      <c r="F30" s="34"/>
      <c r="G30" s="34"/>
      <c r="H30" s="34"/>
      <c r="I30" s="34"/>
      <c r="J30" s="34"/>
      <c r="K30" s="34"/>
      <c r="L30" s="34"/>
      <c r="M30" s="34"/>
      <c r="N30" s="34"/>
      <c r="O30" s="34"/>
    </row>
  </sheetData>
  <mergeCells count="4">
    <mergeCell ref="A2:O2"/>
    <mergeCell ref="C10:D10"/>
    <mergeCell ref="C28:O28"/>
    <mergeCell ref="C29:O29"/>
  </mergeCells>
  <phoneticPr fontId="3" type="noConversion"/>
  <printOptions horizontalCentered="1"/>
  <pageMargins left="0.70866141732283472" right="0.70866141732283472" top="0.74803149606299213" bottom="0.74803149606299213" header="0.31496062992125984" footer="0.31496062992125984"/>
  <pageSetup paperSize="9" scale="70" fitToHeight="0" orientation="landscape" r:id="rId1"/>
  <headerFooter>
    <oddFooter>&amp;L_x000D_&amp;1#&amp;"Calibri"&amp;9&amp;K000000 Confidential | AVIKUS – Unauthorized distribution is strictly prohibited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CC88-9191-4F9D-9146-409B072F8F02}">
  <sheetPr>
    <tabColor rgb="FFFF0000"/>
    <pageSetUpPr fitToPage="1"/>
  </sheetPr>
  <dimension ref="A1:P40"/>
  <sheetViews>
    <sheetView showGridLines="0" view="pageBreakPreview" zoomScale="70" zoomScaleNormal="100" zoomScaleSheetLayoutView="7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1" spans="1:16" x14ac:dyDescent="0.45">
      <c r="A1" s="34"/>
      <c r="B1" s="34"/>
      <c r="C1" s="34"/>
      <c r="D1" s="34"/>
      <c r="E1" s="34"/>
      <c r="F1" s="34"/>
      <c r="G1" s="34"/>
      <c r="H1" s="34"/>
      <c r="I1" s="34"/>
      <c r="J1" s="34"/>
      <c r="K1" s="34"/>
      <c r="L1" s="34"/>
      <c r="M1" s="34"/>
      <c r="N1" s="34"/>
      <c r="O1" s="34"/>
    </row>
    <row r="2" spans="1:16" ht="30" x14ac:dyDescent="0.75">
      <c r="A2" s="117" t="s">
        <v>38</v>
      </c>
      <c r="B2" s="117"/>
      <c r="C2" s="117"/>
      <c r="D2" s="117"/>
      <c r="E2" s="117"/>
      <c r="F2" s="117"/>
      <c r="G2" s="117"/>
      <c r="H2" s="117"/>
      <c r="I2" s="117"/>
      <c r="J2" s="117"/>
      <c r="K2" s="117"/>
      <c r="L2" s="117"/>
      <c r="M2" s="117"/>
      <c r="N2" s="117"/>
      <c r="O2" s="117"/>
    </row>
    <row r="3" spans="1:16" x14ac:dyDescent="0.45">
      <c r="A3" s="34"/>
      <c r="B3" s="34"/>
      <c r="C3" s="34" t="s">
        <v>39</v>
      </c>
      <c r="D3" s="34"/>
      <c r="E3" s="34"/>
      <c r="F3" s="34"/>
      <c r="G3" s="34"/>
      <c r="H3" s="34"/>
      <c r="I3" s="34"/>
      <c r="J3" s="34"/>
      <c r="K3" s="34"/>
      <c r="L3" s="34"/>
      <c r="M3" s="34"/>
      <c r="N3" s="34"/>
      <c r="O3" s="34"/>
    </row>
    <row r="4" spans="1:16" ht="21" customHeight="1" x14ac:dyDescent="0.45">
      <c r="A4" s="35" t="s">
        <v>40</v>
      </c>
      <c r="B4" s="19"/>
      <c r="C4" s="19" t="s">
        <v>41</v>
      </c>
      <c r="D4" s="20" t="s">
        <v>110</v>
      </c>
      <c r="E4" s="36"/>
      <c r="F4" s="36"/>
      <c r="G4" s="36"/>
      <c r="H4" s="36"/>
      <c r="I4" s="36"/>
      <c r="J4" s="36"/>
      <c r="K4" s="36"/>
      <c r="L4" s="36"/>
      <c r="M4" s="36"/>
      <c r="N4" s="36"/>
      <c r="O4" s="36"/>
    </row>
    <row r="5" spans="1:16" ht="21" customHeight="1" x14ac:dyDescent="0.45">
      <c r="A5" s="36" t="s">
        <v>43</v>
      </c>
      <c r="C5" s="16" t="s">
        <v>41</v>
      </c>
      <c r="D5" s="16" t="s">
        <v>111</v>
      </c>
      <c r="E5" s="36"/>
      <c r="F5" s="36"/>
      <c r="G5" s="36"/>
      <c r="H5" s="36"/>
      <c r="I5" s="36"/>
      <c r="J5" s="36"/>
      <c r="K5" s="36"/>
      <c r="L5" s="36"/>
      <c r="M5" s="36"/>
      <c r="N5" s="36"/>
      <c r="O5" s="36"/>
    </row>
    <row r="6" spans="1:16" ht="21" customHeight="1" x14ac:dyDescent="0.45">
      <c r="A6" s="36" t="s">
        <v>44</v>
      </c>
      <c r="C6" s="16" t="s">
        <v>41</v>
      </c>
      <c r="E6" s="36"/>
      <c r="F6" s="36"/>
      <c r="G6" s="36"/>
      <c r="H6" s="36"/>
      <c r="I6" s="36"/>
      <c r="J6" s="36"/>
      <c r="K6" s="36"/>
      <c r="L6" s="36"/>
      <c r="M6" s="36"/>
      <c r="N6" s="36"/>
      <c r="O6" s="36"/>
    </row>
    <row r="7" spans="1:16" ht="21" customHeight="1" x14ac:dyDescent="0.45">
      <c r="A7" s="36" t="s">
        <v>45</v>
      </c>
      <c r="C7" s="16" t="s">
        <v>41</v>
      </c>
      <c r="E7" s="36"/>
      <c r="F7" s="36" t="s">
        <v>39</v>
      </c>
      <c r="G7" s="36"/>
      <c r="H7" s="36"/>
      <c r="I7" s="36"/>
      <c r="J7" s="36"/>
      <c r="K7" s="36"/>
      <c r="L7" s="36"/>
      <c r="M7" s="36"/>
      <c r="N7" s="36"/>
      <c r="O7" s="36"/>
    </row>
    <row r="8" spans="1:16" ht="21" customHeight="1" x14ac:dyDescent="0.45">
      <c r="A8" s="36" t="s">
        <v>46</v>
      </c>
      <c r="E8" s="36"/>
      <c r="F8" s="36"/>
      <c r="G8" s="36"/>
      <c r="H8" s="36"/>
      <c r="I8" s="36"/>
      <c r="J8" s="36"/>
      <c r="K8" s="36"/>
      <c r="L8" s="36"/>
      <c r="M8" s="36"/>
      <c r="N8" s="36"/>
      <c r="O8" s="36"/>
    </row>
    <row r="9" spans="1:16" ht="6" customHeight="1" x14ac:dyDescent="0.45">
      <c r="A9" s="34"/>
      <c r="B9" s="34"/>
      <c r="C9" s="34"/>
      <c r="D9" s="34"/>
      <c r="E9" s="34"/>
      <c r="F9" s="34"/>
      <c r="G9" s="34"/>
      <c r="H9" s="34"/>
      <c r="I9" s="34"/>
      <c r="J9" s="34"/>
      <c r="K9" s="34"/>
      <c r="L9" s="34"/>
      <c r="M9" s="34"/>
      <c r="N9" s="34"/>
      <c r="O9" s="34"/>
    </row>
    <row r="10" spans="1:16" ht="34" x14ac:dyDescent="0.45">
      <c r="A10" s="23" t="s">
        <v>47</v>
      </c>
      <c r="B10" s="24" t="s">
        <v>48</v>
      </c>
      <c r="C10" s="114" t="s">
        <v>49</v>
      </c>
      <c r="D10" s="115"/>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63</v>
      </c>
      <c r="C11" s="28" t="str">
        <f>IFERROR(VLOOKUP($B11,자재리스트!$B$4:$M$92,2,FALSE),)</f>
        <v>Monitor</v>
      </c>
      <c r="D11" s="27"/>
      <c r="E11" s="27" t="str">
        <f>IFERROR(VLOOKUP($B11,자재리스트!$B$4:$M$92,4,FALSE),)</f>
        <v>27인치 모니터</v>
      </c>
      <c r="F11" s="27" t="str">
        <f>IFERROR(VLOOKUP($B11,자재리스트!$B$4:$M$92,5,FALSE),)</f>
        <v xml:space="preserve"> - </v>
      </c>
      <c r="G11" s="27">
        <f>IFERROR(VLOOKUP($B11,자재리스트!$B$5:$M$92,6,FALSE),)</f>
        <v>0</v>
      </c>
      <c r="H11" s="27" t="str">
        <f>IFERROR(VLOOKUP($B11,자재리스트!$B$4:$M$92,7,FALSE),)</f>
        <v>개</v>
      </c>
      <c r="I11" s="29">
        <v>2</v>
      </c>
      <c r="J11" s="29" t="str">
        <f>IFERROR(VLOOKUP($B11,자재리스트!$B$4:$M$92,8,FALSE),)</f>
        <v>KRW</v>
      </c>
      <c r="K11" s="29">
        <f>IFERROR(VLOOKUP($B11,자재리스트!$B$4:$M$92,9,FALSE),)</f>
        <v>3020000</v>
      </c>
      <c r="L11" s="29">
        <f>I11*K11</f>
        <v>6040000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IFERROR(VLOOKUP($B12,자재리스트!$B$5:$M$92,6,FALSE),)</f>
        <v>중국</v>
      </c>
      <c r="H12" s="27" t="str">
        <f>IFERROR(VLOOKUP($B12,자재리스트!$B$4:$M$92,7,FALSE),)</f>
        <v>개</v>
      </c>
      <c r="I12" s="29">
        <v>3</v>
      </c>
      <c r="J12" s="29" t="str">
        <f>IFERROR(VLOOKUP($B12,자재리스트!$B$4:$M$92,8,FALSE),)</f>
        <v>KRW</v>
      </c>
      <c r="K12" s="29">
        <f>IFERROR(VLOOKUP($B12,자재리스트!$B$4:$M$92,9,FALSE),)</f>
        <v>3320000</v>
      </c>
      <c r="L12" s="29">
        <f t="shared" ref="L12:L28" si="0">I12*K12</f>
        <v>9960000</v>
      </c>
      <c r="M12" s="27" t="str">
        <f>IFERROR(VLOOKUP($B12,자재리스트!$B$4:$M$92,10,FALSE),)</f>
        <v>테트라다인</v>
      </c>
      <c r="N12" s="27" t="str">
        <f>IFERROR(VLOOKUP($B12,자재리스트!$B$4:$M$92,11,FALSE),)</f>
        <v>거래명세서</v>
      </c>
      <c r="O12" s="27" t="str">
        <f>IFERROR(VLOOKUP($B12,자재리스트!$B$4:$M$92,12,FALSE),)</f>
        <v xml:space="preserve"> - </v>
      </c>
      <c r="P12" s="30"/>
    </row>
    <row r="13" spans="1:16" ht="25.25" customHeight="1" x14ac:dyDescent="0.45">
      <c r="A13" s="26">
        <v>3</v>
      </c>
      <c r="B13" s="27" t="s">
        <v>100</v>
      </c>
      <c r="C13" s="28" t="str">
        <f>IFERROR(VLOOKUP($B13,자재리스트!$B$4:$M$92,2,FALSE),)</f>
        <v>IP camera</v>
      </c>
      <c r="D13" s="27"/>
      <c r="E13" s="27" t="str">
        <f>IFERROR(VLOOKUP($B13,자재리스트!$B$4:$M$92,4,FALSE),)</f>
        <v>카메라</v>
      </c>
      <c r="F13" s="27" t="str">
        <f>IFERROR(VLOOKUP($B13,자재리스트!$B$4:$M$92,5,FALSE),)</f>
        <v xml:space="preserve"> - </v>
      </c>
      <c r="G13" s="27" t="str">
        <f>IFERROR(VLOOKUP($B13,자재리스트!$B$5:$M$92,6,FALSE),)</f>
        <v>한국</v>
      </c>
      <c r="H13" s="27" t="str">
        <f>IFERROR(VLOOKUP($B13,자재리스트!$B$4:$M$92,7,FALSE),)</f>
        <v>개</v>
      </c>
      <c r="I13" s="29">
        <v>6</v>
      </c>
      <c r="J13" s="29" t="str">
        <f>IFERROR(VLOOKUP($B13,자재리스트!$B$4:$M$92,8,FALSE),)</f>
        <v>KRW</v>
      </c>
      <c r="K13" s="29">
        <f>IFERROR(VLOOKUP($B13,자재리스트!$B$4:$M$92,9,FALSE),)</f>
        <v>1500000</v>
      </c>
      <c r="L13" s="29">
        <f t="shared" si="0"/>
        <v>9000000</v>
      </c>
      <c r="M13" s="27" t="str">
        <f>IFERROR(VLOOKUP($B13,자재리스트!$B$4:$M$92,10,FALSE),)</f>
        <v>아르게스마린</v>
      </c>
      <c r="N13" s="27" t="str">
        <f>IFERROR(VLOOKUP($B13,자재리스트!$B$4:$M$92,11,FALSE),)</f>
        <v>거래명세서</v>
      </c>
      <c r="O13" s="27" t="str">
        <f>IFERROR(VLOOKUP($B13,자재리스트!$B$4:$M$92,12,FALSE),)</f>
        <v xml:space="preserve"> - </v>
      </c>
    </row>
    <row r="14" spans="1:16" ht="25.25" customHeight="1" x14ac:dyDescent="0.45">
      <c r="A14" s="26">
        <v>5</v>
      </c>
      <c r="B14" s="27" t="s">
        <v>74</v>
      </c>
      <c r="C14" s="28" t="str">
        <f>IFERROR(VLOOKUP($B14,자재리스트!$B$4:$M$92,2,FALSE),)</f>
        <v>Network switch</v>
      </c>
      <c r="D14" s="27"/>
      <c r="E14" s="27" t="str">
        <f>IFERROR(VLOOKUP($B14,자재리스트!$B$4:$M$92,4,FALSE),)</f>
        <v>허브 (선급인증품)</v>
      </c>
      <c r="F14" s="27" t="str">
        <f>IFERROR(VLOOKUP($B14,자재리스트!$B$4:$M$92,5,FALSE),)</f>
        <v xml:space="preserve"> - </v>
      </c>
      <c r="G14" s="27" t="str">
        <f>IFERROR(VLOOKUP($B14,자재리스트!$B$5:$M$92,6,FALSE),)</f>
        <v>한국</v>
      </c>
      <c r="H14" s="27" t="str">
        <f>IFERROR(VLOOKUP($B14,자재리스트!$B$4:$M$92,7,FALSE),)</f>
        <v>개</v>
      </c>
      <c r="I14" s="29">
        <v>3</v>
      </c>
      <c r="J14" s="29" t="str">
        <f>IFERROR(VLOOKUP($B14,자재리스트!$B$4:$M$92,8,FALSE),)</f>
        <v>KRW</v>
      </c>
      <c r="K14" s="29">
        <f>IFERROR(VLOOKUP($B14,자재리스트!$B$4:$M$92,9,FALSE),)</f>
        <v>1596000</v>
      </c>
      <c r="L14" s="29">
        <f t="shared" si="0"/>
        <v>4788000</v>
      </c>
      <c r="M14" s="27" t="str">
        <f>IFERROR(VLOOKUP($B14,자재리스트!$B$4:$M$92,10,FALSE),)</f>
        <v>여의시스템</v>
      </c>
      <c r="N14" s="27" t="str">
        <f>IFERROR(VLOOKUP($B14,자재리스트!$B$4:$M$92,11,FALSE),)</f>
        <v>거래명세서</v>
      </c>
      <c r="O14" s="27" t="str">
        <f>IFERROR(VLOOKUP($B14,자재리스트!$B$4:$M$92,12,FALSE),)</f>
        <v xml:space="preserve"> - </v>
      </c>
    </row>
    <row r="15" spans="1:16" ht="25.25" customHeight="1" x14ac:dyDescent="0.45">
      <c r="A15" s="26">
        <v>6</v>
      </c>
      <c r="B15" s="41" t="s">
        <v>112</v>
      </c>
      <c r="C15" s="28" t="str">
        <f>IFERROR(VLOOKUP($B15,자재리스트!$B$4:$M$92,2,FALSE),)</f>
        <v>PoE HUB</v>
      </c>
      <c r="D15" s="27"/>
      <c r="E15" s="27" t="str">
        <f>IFERROR(VLOOKUP($B15,자재리스트!$B$4:$M$92,4,FALSE),)</f>
        <v>IP 카메라에 전원 공급</v>
      </c>
      <c r="F15" s="27" t="str">
        <f>IFERROR(VLOOKUP($B15,자재리스트!$B$4:$M$92,5,FALSE),)</f>
        <v xml:space="preserve"> - </v>
      </c>
      <c r="G15" s="27" t="str">
        <f>IFERROR(VLOOKUP($B15,자재리스트!$B$5:$M$92,6,FALSE),)</f>
        <v>한국</v>
      </c>
      <c r="H15" s="27" t="str">
        <f>IFERROR(VLOOKUP($B15,자재리스트!$B$4:$M$92,7,FALSE),)</f>
        <v>개</v>
      </c>
      <c r="I15" s="29">
        <v>2</v>
      </c>
      <c r="J15" s="29" t="str">
        <f>IFERROR(VLOOKUP($B15,자재리스트!$B$4:$M$92,8,FALSE),)</f>
        <v>KRW</v>
      </c>
      <c r="K15" s="29">
        <f>IFERROR(VLOOKUP($B15,자재리스트!$B$4:$M$92,9,FALSE),)</f>
        <v>392500</v>
      </c>
      <c r="L15" s="29">
        <f t="shared" si="0"/>
        <v>785000</v>
      </c>
      <c r="M15" s="27" t="str">
        <f>IFERROR(VLOOKUP($B15,자재리스트!$B$4:$M$92,10,FALSE),)</f>
        <v>제씨테크</v>
      </c>
      <c r="N15" s="27" t="str">
        <f>IFERROR(VLOOKUP($B15,자재리스트!$B$4:$M$92,11,FALSE),)</f>
        <v>거래명세서</v>
      </c>
      <c r="O15" s="27" t="str">
        <f>IFERROR(VLOOKUP($B15,자재리스트!$B$4:$M$92,12,FALSE),)</f>
        <v>w. SMPS</v>
      </c>
    </row>
    <row r="16" spans="1:16" ht="25.25" customHeight="1" x14ac:dyDescent="0.45">
      <c r="A16" s="26">
        <v>7</v>
      </c>
      <c r="B16" s="41" t="s">
        <v>107</v>
      </c>
      <c r="C16" s="28" t="str">
        <f>IFERROR(VLOOKUP($B16,자재리스트!$B$4:$M$92,2,FALSE),)</f>
        <v>LRP</v>
      </c>
      <c r="D16" s="27"/>
      <c r="E16" s="27" t="str">
        <f>IFERROR(VLOOKUP($B16,자재리스트!$B$4:$M$92,4,FALSE),)</f>
        <v>LAN 통신 거리 연장 및 전원공급</v>
      </c>
      <c r="F16" s="27" t="str">
        <f>IFERROR(VLOOKUP($B16,자재리스트!$B$4:$M$92,5,FALSE),)</f>
        <v xml:space="preserve"> - </v>
      </c>
      <c r="G16" s="27" t="str">
        <f>IFERROR(VLOOKUP($B16,자재리스트!$B$5:$M$92,6,FALSE),)</f>
        <v>한국</v>
      </c>
      <c r="H16" s="27" t="str">
        <f>IFERROR(VLOOKUP($B16,자재리스트!$B$4:$M$92,7,FALSE),)</f>
        <v>세트</v>
      </c>
      <c r="I16" s="29">
        <v>6</v>
      </c>
      <c r="J16" s="29" t="str">
        <f>IFERROR(VLOOKUP($B16,자재리스트!$B$4:$M$92,8,FALSE),)</f>
        <v>KRW</v>
      </c>
      <c r="K16" s="29">
        <f>IFERROR(VLOOKUP($B16,자재리스트!$B$4:$M$92,9,FALSE),)</f>
        <v>292000</v>
      </c>
      <c r="L16" s="29">
        <f t="shared" si="0"/>
        <v>1752000</v>
      </c>
      <c r="M16" s="27" t="str">
        <f>IFERROR(VLOOKUP($B16,자재리스트!$B$4:$M$92,10,FALSE),)</f>
        <v>제씨테크</v>
      </c>
      <c r="N16" s="27" t="str">
        <f>IFERROR(VLOOKUP($B16,자재리스트!$B$4:$M$92,11,FALSE),)</f>
        <v>거래명세서</v>
      </c>
      <c r="O16" s="27" t="str">
        <f>IFERROR(VLOOKUP($B16,자재리스트!$B$4:$M$92,12,FALSE),)</f>
        <v>w. SMPS</v>
      </c>
    </row>
    <row r="17" spans="1:15" ht="25.25" customHeight="1" x14ac:dyDescent="0.45">
      <c r="A17" s="26">
        <v>8</v>
      </c>
      <c r="B17" s="27" t="s">
        <v>113</v>
      </c>
      <c r="C17" s="28" t="str">
        <f>IFERROR(VLOOKUP($B17,자재리스트!$B$4:$M$92,2,FALSE),)</f>
        <v>Junction Box</v>
      </c>
      <c r="D17" s="27"/>
      <c r="E17" s="27" t="str">
        <f>IFERROR(VLOOKUP($B17,자재리스트!$B$4:$M$92,4,FALSE),)</f>
        <v>PoE Hub 용</v>
      </c>
      <c r="F17" s="27" t="str">
        <f>IFERROR(VLOOKUP($B17,자재리스트!$B$4:$M$92,5,FALSE),)</f>
        <v xml:space="preserve"> - </v>
      </c>
      <c r="G17" s="27" t="str">
        <f>IFERROR(VLOOKUP($B17,자재리스트!$B$5:$M$92,6,FALSE),)</f>
        <v>한국</v>
      </c>
      <c r="H17" s="27" t="str">
        <f>IFERROR(VLOOKUP($B17,자재리스트!$B$4:$M$92,7,FALSE),)</f>
        <v>개</v>
      </c>
      <c r="I17" s="29">
        <v>2</v>
      </c>
      <c r="J17" s="29" t="str">
        <f>IFERROR(VLOOKUP($B17,자재리스트!$B$4:$M$92,8,FALSE),)</f>
        <v>KRW</v>
      </c>
      <c r="K17" s="29">
        <f>IFERROR(VLOOKUP($B17,자재리스트!$B$4:$M$92,9,FALSE),)</f>
        <v>505000</v>
      </c>
      <c r="L17" s="29">
        <f t="shared" si="0"/>
        <v>1010000</v>
      </c>
      <c r="M17" s="27" t="str">
        <f>IFERROR(VLOOKUP($B17,자재리스트!$B$4:$M$92,10,FALSE),)</f>
        <v>MRC</v>
      </c>
      <c r="N17" s="27" t="str">
        <f>IFERROR(VLOOKUP($B17,자재리스트!$B$4:$M$92,11,FALSE),)</f>
        <v>거래명세서</v>
      </c>
      <c r="O17" s="27" t="str">
        <f>IFERROR(VLOOKUP($B17,자재리스트!$B$4:$M$92,12,FALSE),)</f>
        <v>명판 포함</v>
      </c>
    </row>
    <row r="18" spans="1:15" ht="25.25" customHeight="1" x14ac:dyDescent="0.45">
      <c r="A18" s="26">
        <v>9</v>
      </c>
      <c r="B18" s="27" t="s">
        <v>105</v>
      </c>
      <c r="C18" s="28" t="str">
        <f>IFERROR(VLOOKUP($B18,자재리스트!$B$4:$M$92,2,FALSE),)</f>
        <v>Junction Box</v>
      </c>
      <c r="D18" s="27"/>
      <c r="E18" s="27" t="str">
        <f>IFERROR(VLOOKUP($B18,자재리스트!$B$4:$M$92,4,FALSE),)</f>
        <v>LRP Injector용</v>
      </c>
      <c r="F18" s="27" t="str">
        <f>IFERROR(VLOOKUP($B18,자재리스트!$B$4:$M$92,5,FALSE),)</f>
        <v xml:space="preserve"> - </v>
      </c>
      <c r="G18" s="27" t="str">
        <f>IFERROR(VLOOKUP($B18,자재리스트!$B$5:$M$92,6,FALSE),)</f>
        <v>한국</v>
      </c>
      <c r="H18" s="27" t="str">
        <f>IFERROR(VLOOKUP($B18,자재리스트!$B$4:$M$92,7,FALSE),)</f>
        <v>개</v>
      </c>
      <c r="I18" s="29">
        <v>10</v>
      </c>
      <c r="J18" s="29" t="str">
        <f>IFERROR(VLOOKUP($B18,자재리스트!$B$4:$M$92,8,FALSE),)</f>
        <v>KRW</v>
      </c>
      <c r="K18" s="29">
        <f>IFERROR(VLOOKUP($B18,자재리스트!$B$4:$M$92,9,FALSE),)</f>
        <v>505000</v>
      </c>
      <c r="L18" s="29">
        <f t="shared" si="0"/>
        <v>5050000</v>
      </c>
      <c r="M18" s="27" t="str">
        <f>IFERROR(VLOOKUP($B18,자재리스트!$B$4:$M$92,10,FALSE),)</f>
        <v>MRC</v>
      </c>
      <c r="N18" s="27" t="str">
        <f>IFERROR(VLOOKUP($B18,자재리스트!$B$4:$M$92,11,FALSE),)</f>
        <v>거래명세서</v>
      </c>
      <c r="O18" s="27" t="str">
        <f>IFERROR(VLOOKUP($B18,자재리스트!$B$4:$M$92,12,FALSE),)</f>
        <v>명판 포함</v>
      </c>
    </row>
    <row r="19" spans="1:15" ht="25.25" customHeight="1" x14ac:dyDescent="0.45">
      <c r="A19" s="26">
        <v>10</v>
      </c>
      <c r="B19" s="27" t="s">
        <v>114</v>
      </c>
      <c r="C19" s="28" t="str">
        <f>IFERROR(VLOOKUP($B19,자재리스트!$B$4:$M$92,2,FALSE),)</f>
        <v>Junction Box</v>
      </c>
      <c r="D19" s="27"/>
      <c r="E19" s="27" t="str">
        <f>IFERROR(VLOOKUP($B19,자재리스트!$B$4:$M$92,4,FALSE),)</f>
        <v>방폭형, LRP Extender용</v>
      </c>
      <c r="F19" s="27" t="str">
        <f>IFERROR(VLOOKUP($B19,자재리스트!$B$4:$M$92,5,FALSE),)</f>
        <v xml:space="preserve"> - </v>
      </c>
      <c r="G19" s="27" t="str">
        <f>IFERROR(VLOOKUP($B19,자재리스트!$B$5:$M$92,6,FALSE),)</f>
        <v>한국</v>
      </c>
      <c r="H19" s="27" t="str">
        <f>IFERROR(VLOOKUP($B19,자재리스트!$B$4:$M$92,7,FALSE),)</f>
        <v>개</v>
      </c>
      <c r="I19" s="29">
        <v>2</v>
      </c>
      <c r="J19" s="29" t="str">
        <f>IFERROR(VLOOKUP($B19,자재리스트!$B$4:$M$92,8,FALSE),)</f>
        <v>KRW</v>
      </c>
      <c r="K19" s="29">
        <f>IFERROR(VLOOKUP($B19,자재리스트!$B$4:$M$92,9,FALSE),)</f>
        <v>1800000</v>
      </c>
      <c r="L19" s="29">
        <f t="shared" si="0"/>
        <v>3600000</v>
      </c>
      <c r="M19" s="27" t="str">
        <f>IFERROR(VLOOKUP($B19,자재리스트!$B$4:$M$92,10,FALSE),)</f>
        <v>MRC</v>
      </c>
      <c r="N19" s="27" t="str">
        <f>IFERROR(VLOOKUP($B19,자재리스트!$B$4:$M$92,11,FALSE),)</f>
        <v>거래명세서</v>
      </c>
      <c r="O19" s="27" t="str">
        <f>IFERROR(VLOOKUP($B19,자재리스트!$B$4:$M$92,12,FALSE),)</f>
        <v>-</v>
      </c>
    </row>
    <row r="20" spans="1:15" ht="25.25" customHeight="1" x14ac:dyDescent="0.45">
      <c r="A20" s="26">
        <v>12</v>
      </c>
      <c r="B20" s="27" t="s">
        <v>101</v>
      </c>
      <c r="C20" s="28" t="str">
        <f>IFERROR(VLOOKUP($B20,자재리스트!$B$4:$M$92,2,FALSE),)</f>
        <v>Network PoE Switch</v>
      </c>
      <c r="D20" s="27"/>
      <c r="E20" s="27" t="str">
        <f>IFERROR(VLOOKUP($B20,자재리스트!$B$4:$M$92,4,FALSE),)</f>
        <v>IP 카메라에 전원 공급</v>
      </c>
      <c r="F20" s="27" t="str">
        <f>IFERROR(VLOOKUP($B20,자재리스트!$B$4:$M$92,5,FALSE),)</f>
        <v xml:space="preserve"> - </v>
      </c>
      <c r="G20" s="27" t="str">
        <f>IFERROR(VLOOKUP($B20,자재리스트!$B$5:$M$92,6,FALSE),)</f>
        <v>한국</v>
      </c>
      <c r="H20" s="27" t="str">
        <f>IFERROR(VLOOKUP($B20,자재리스트!$B$4:$M$92,7,FALSE),)</f>
        <v>개</v>
      </c>
      <c r="I20" s="29">
        <v>1</v>
      </c>
      <c r="J20" s="29" t="str">
        <f>IFERROR(VLOOKUP($B20,자재리스트!$B$4:$M$92,8,FALSE),)</f>
        <v>KRW</v>
      </c>
      <c r="K20" s="29">
        <f>IFERROR(VLOOKUP($B20,자재리스트!$B$4:$M$92,9,FALSE),)</f>
        <v>2213000</v>
      </c>
      <c r="L20" s="29">
        <f t="shared" si="0"/>
        <v>2213000</v>
      </c>
      <c r="M20" s="27" t="str">
        <f>IFERROR(VLOOKUP($B20,자재리스트!$B$4:$M$92,10,FALSE),)</f>
        <v>여의시스템</v>
      </c>
      <c r="N20" s="27" t="str">
        <f>IFERROR(VLOOKUP($B20,자재리스트!$B$4:$M$92,11,FALSE),)</f>
        <v>거래명세서</v>
      </c>
      <c r="O20" s="27" t="str">
        <f>IFERROR(VLOOKUP($B20,자재리스트!$B$4:$M$92,12,FALSE),)</f>
        <v xml:space="preserve"> - </v>
      </c>
    </row>
    <row r="21" spans="1:15" ht="25.25" customHeight="1" x14ac:dyDescent="0.45">
      <c r="A21" s="26">
        <v>13</v>
      </c>
      <c r="B21" s="46" t="s">
        <v>90</v>
      </c>
      <c r="C21" s="28" t="str">
        <f>IFERROR(VLOOKUP($B21,자재리스트!$B$4:$M$92,2,FALSE),)</f>
        <v>Serial to Ethernet</v>
      </c>
      <c r="D21" s="27"/>
      <c r="E21" s="27" t="str">
        <f>IFERROR(VLOOKUP($B21,자재리스트!$B$4:$M$92,4,FALSE),)</f>
        <v>시리얼 통신을 LAN으로 변환</v>
      </c>
      <c r="F21" s="27" t="str">
        <f>IFERROR(VLOOKUP($B21,자재리스트!$B$4:$M$92,5,FALSE),)</f>
        <v xml:space="preserve"> - </v>
      </c>
      <c r="G21" s="27" t="str">
        <f>IFERROR(VLOOKUP($B21,자재리스트!$B$5:$M$92,6,FALSE),)</f>
        <v>한국</v>
      </c>
      <c r="H21" s="27" t="str">
        <f>IFERROR(VLOOKUP($B21,자재리스트!$B$4:$M$92,7,FALSE),)</f>
        <v>개</v>
      </c>
      <c r="I21" s="29">
        <v>1</v>
      </c>
      <c r="J21" s="29" t="str">
        <f>IFERROR(VLOOKUP($B21,자재리스트!$B$4:$M$92,8,FALSE),)</f>
        <v>KRW</v>
      </c>
      <c r="K21" s="29">
        <f>IFERROR(VLOOKUP($B21,자재리스트!$B$4:$M$92,9,FALSE),)</f>
        <v>780000</v>
      </c>
      <c r="L21" s="29">
        <f t="shared" si="0"/>
        <v>780000</v>
      </c>
      <c r="M21" s="27" t="str">
        <f>IFERROR(VLOOKUP($B21,자재리스트!$B$4:$M$92,10,FALSE),)</f>
        <v>여의시스템</v>
      </c>
      <c r="N21" s="27" t="str">
        <f>IFERROR(VLOOKUP($B21,자재리스트!$B$4:$M$92,11,FALSE),)</f>
        <v>거래명세서</v>
      </c>
      <c r="O21" s="27" t="str">
        <f>IFERROR(VLOOKUP($B21,자재리스트!$B$4:$M$92,12,FALSE),)</f>
        <v xml:space="preserve"> - </v>
      </c>
    </row>
    <row r="22" spans="1:15" ht="25.25" customHeight="1" x14ac:dyDescent="0.45">
      <c r="A22" s="26">
        <v>14</v>
      </c>
      <c r="B22" s="46" t="s">
        <v>115</v>
      </c>
      <c r="C22" s="28" t="str">
        <f>IFERROR(VLOOKUP($B22,자재리스트!$B$4:$M$92,2,FALSE),)</f>
        <v>keyboard &amp; mouse</v>
      </c>
      <c r="D22" s="27"/>
      <c r="E22" s="27" t="str">
        <f>IFERROR(VLOOKUP($B22,자재리스트!$B$4:$M$92,4,FALSE),)</f>
        <v>입력기기</v>
      </c>
      <c r="F22" s="27" t="str">
        <f>IFERROR(VLOOKUP($B22,자재리스트!$B$4:$M$92,5,FALSE),)</f>
        <v xml:space="preserve"> - </v>
      </c>
      <c r="G22" s="27" t="str">
        <f>IFERROR(VLOOKUP($B22,자재리스트!$B$5:$M$92,6,FALSE),)</f>
        <v>한국</v>
      </c>
      <c r="H22" s="27" t="str">
        <f>IFERROR(VLOOKUP($B22,자재리스트!$B$4:$M$92,7,FALSE),)</f>
        <v>세트</v>
      </c>
      <c r="I22" s="29">
        <v>2</v>
      </c>
      <c r="J22" s="29" t="str">
        <f>IFERROR(VLOOKUP($B22,자재리스트!$B$4:$M$92,8,FALSE),)</f>
        <v>KRW</v>
      </c>
      <c r="K22" s="29">
        <f>IFERROR(VLOOKUP($B22,자재리스트!$B$4:$M$92,9,FALSE),)</f>
        <v>50000</v>
      </c>
      <c r="L22" s="29">
        <f t="shared" si="0"/>
        <v>100000</v>
      </c>
      <c r="M22" s="27" t="str">
        <f>IFERROR(VLOOKUP($B22,자재리스트!$B$4:$M$92,10,FALSE),)</f>
        <v>MRC</v>
      </c>
      <c r="N22" s="27" t="str">
        <f>IFERROR(VLOOKUP($B22,자재리스트!$B$4:$M$92,11,FALSE),)</f>
        <v>거래명세서</v>
      </c>
      <c r="O22" s="27" t="str">
        <f>IFERROR(VLOOKUP($B22,자재리스트!$B$4:$M$92,12,FALSE),)</f>
        <v xml:space="preserve"> - </v>
      </c>
    </row>
    <row r="23" spans="1:15" ht="25.25" customHeight="1" x14ac:dyDescent="0.45">
      <c r="A23" s="26">
        <v>21</v>
      </c>
      <c r="B23" s="27" t="s">
        <v>66</v>
      </c>
      <c r="C23" s="28" t="str">
        <f>IFERROR(VLOOKUP($B23,자재리스트!$B$4:$M$92,2,FALSE),)</f>
        <v>NAS camera housing</v>
      </c>
      <c r="D23" s="27"/>
      <c r="E23" s="27" t="str">
        <f>IFERROR(VLOOKUP($B23,자재리스트!$B$4:$M$92,4,FALSE),)</f>
        <v>하우징</v>
      </c>
      <c r="F23" s="27" t="str">
        <f>IFERROR(VLOOKUP($B23,자재리스트!$B$4:$M$92,5,FALSE),)</f>
        <v xml:space="preserve"> - </v>
      </c>
      <c r="G23" s="27" t="str">
        <f>IFERROR(VLOOKUP($B23,자재리스트!$B$5:$M$92,6,FALSE),)</f>
        <v>한국</v>
      </c>
      <c r="H23" s="27" t="str">
        <f>IFERROR(VLOOKUP($B23,자재리스트!$B$4:$M$92,7,FALSE),)</f>
        <v>개</v>
      </c>
      <c r="I23" s="29">
        <v>1</v>
      </c>
      <c r="J23" s="29" t="str">
        <f>IFERROR(VLOOKUP($B23,자재리스트!$B$4:$M$92,8,FALSE),)</f>
        <v>KRW</v>
      </c>
      <c r="K23" s="29">
        <f>IFERROR(VLOOKUP($B23,자재리스트!$B$4:$M$92,9,FALSE),)</f>
        <v>4300000</v>
      </c>
      <c r="L23" s="29">
        <f>I23*K23</f>
        <v>4300000</v>
      </c>
      <c r="M23" s="27" t="str">
        <f>IFERROR(VLOOKUP($B23,자재리스트!$B$4:$M$92,10,FALSE),)</f>
        <v>MRC</v>
      </c>
      <c r="N23" s="27" t="str">
        <f>IFERROR(VLOOKUP($B23,자재리스트!$B$4:$M$92,11,FALSE),)</f>
        <v>거래명세서</v>
      </c>
      <c r="O23" s="27" t="str">
        <f>IFERROR(VLOOKUP($B23,자재리스트!$B$4:$M$92,12,FALSE),)</f>
        <v xml:space="preserve"> - </v>
      </c>
    </row>
    <row r="24" spans="1:15" ht="25.25" customHeight="1" x14ac:dyDescent="0.45">
      <c r="A24" s="26">
        <v>18</v>
      </c>
      <c r="B24" s="27" t="s">
        <v>67</v>
      </c>
      <c r="C24" s="28" t="str">
        <f>IFERROR(VLOOKUP($B24,자재리스트!$B$4:$M$92,2,FALSE),)</f>
        <v>EO Camera</v>
      </c>
      <c r="D24" s="27"/>
      <c r="E24" s="27" t="str">
        <f>IFERROR(VLOOKUP($B24,자재리스트!$B$4:$M$92,4,FALSE),)</f>
        <v>광학 카메라(4K)</v>
      </c>
      <c r="F24" s="27" t="str">
        <f>IFERROR(VLOOKUP($B24,자재리스트!$B$4:$M$92,5,FALSE),)</f>
        <v xml:space="preserve"> - </v>
      </c>
      <c r="G24" s="27" t="str">
        <f>IFERROR(VLOOKUP($B24,자재리스트!$B$5:$M$92,6,FALSE),)</f>
        <v>인도</v>
      </c>
      <c r="H24" s="27" t="str">
        <f>IFERROR(VLOOKUP($B24,자재리스트!$B$4:$M$92,7,FALSE),)</f>
        <v>개</v>
      </c>
      <c r="I24" s="29">
        <v>3</v>
      </c>
      <c r="J24" s="29" t="str">
        <f>IFERROR(VLOOKUP($B24,자재리스트!$B$4:$M$92,8,FALSE),)</f>
        <v>KRW</v>
      </c>
      <c r="K24" s="29">
        <f>IFERROR(VLOOKUP($B24,자재리스트!$B$4:$M$92,9,FALSE),)</f>
        <v>532576</v>
      </c>
      <c r="L24" s="29">
        <f t="shared" si="0"/>
        <v>1597728</v>
      </c>
      <c r="M24" s="27" t="str">
        <f>IFERROR(VLOOKUP($B24,자재리스트!$B$4:$M$92,10,FALSE),)</f>
        <v>사이더스/e-con</v>
      </c>
      <c r="N24" s="27" t="str">
        <f>IFERROR(VLOOKUP($B24,자재리스트!$B$4:$M$92,11,FALSE),)</f>
        <v>거래명세서</v>
      </c>
      <c r="O24" s="27" t="str">
        <f>IFERROR(VLOOKUP($B24,자재리스트!$B$4:$M$92,12,FALSE),)</f>
        <v>w. GMSL cable</v>
      </c>
    </row>
    <row r="25" spans="1:15" ht="25.25" customHeight="1" x14ac:dyDescent="0.45">
      <c r="A25" s="26">
        <v>19</v>
      </c>
      <c r="B25" s="27" t="s">
        <v>68</v>
      </c>
      <c r="C25" s="28" t="str">
        <f>IFERROR(VLOOKUP($B25,자재리스트!$B$4:$M$92,2,FALSE),)</f>
        <v>IR camera</v>
      </c>
      <c r="D25" s="27"/>
      <c r="E25" s="27" t="str">
        <f>IFERROR(VLOOKUP($B25,자재리스트!$B$4:$M$92,4,FALSE),)</f>
        <v>열화상 카메라</v>
      </c>
      <c r="F25" s="27" t="str">
        <f>IFERROR(VLOOKUP($B25,자재리스트!$B$4:$M$92,5,FALSE),)</f>
        <v xml:space="preserve"> - </v>
      </c>
      <c r="G25" s="27" t="str">
        <f>IFERROR(VLOOKUP($B25,자재리스트!$B$5:$M$92,6,FALSE),)</f>
        <v>미국</v>
      </c>
      <c r="H25" s="27" t="str">
        <f>IFERROR(VLOOKUP($B25,자재리스트!$B$4:$M$92,7,FALSE),)</f>
        <v>개</v>
      </c>
      <c r="I25" s="29">
        <v>3</v>
      </c>
      <c r="J25" s="29" t="str">
        <f>IFERROR(VLOOKUP($B25,자재리스트!$B$4:$M$92,8,FALSE),)</f>
        <v>KRW</v>
      </c>
      <c r="K25" s="29">
        <f>IFERROR(VLOOKUP($B25,자재리스트!$B$4:$M$92,9,FALSE),)</f>
        <v>2487523</v>
      </c>
      <c r="L25" s="29">
        <f t="shared" si="0"/>
        <v>7462569</v>
      </c>
      <c r="M25" s="27" t="str">
        <f>IFERROR(VLOOKUP($B25,자재리스트!$B$4:$M$92,10,FALSE),)</f>
        <v>IRKEN/FLIR</v>
      </c>
      <c r="N25" s="27" t="str">
        <f>IFERROR(VLOOKUP($B25,자재리스트!$B$4:$M$92,11,FALSE),)</f>
        <v>거래명세서</v>
      </c>
      <c r="O25" s="27" t="str">
        <f>IFERROR(VLOOKUP($B25,자재리스트!$B$4:$M$92,12,FALSE),)</f>
        <v>w. VPC KIT</v>
      </c>
    </row>
    <row r="26" spans="1:15" ht="25.25" customHeight="1" x14ac:dyDescent="0.45">
      <c r="A26" s="26">
        <v>20</v>
      </c>
      <c r="B26" s="27" t="s">
        <v>69</v>
      </c>
      <c r="C26" s="28" t="str">
        <f>IFERROR(VLOOKUP($B26,자재리스트!$B$4:$M$92,2,FALSE),)</f>
        <v>IR camera window</v>
      </c>
      <c r="D26" s="27"/>
      <c r="E26" s="27" t="str">
        <f>IFERROR(VLOOKUP($B26,자재리스트!$B$4:$M$92,4,FALSE),)</f>
        <v>열화상 카메라 윈도우</v>
      </c>
      <c r="F26" s="27" t="str">
        <f>IFERROR(VLOOKUP($B26,자재리스트!$B$4:$M$92,5,FALSE),)</f>
        <v xml:space="preserve"> - </v>
      </c>
      <c r="G26" s="27" t="str">
        <f>IFERROR(VLOOKUP($B26,자재리스트!$B$5:$M$92,6,FALSE),)</f>
        <v>중국</v>
      </c>
      <c r="H26" s="27" t="str">
        <f>IFERROR(VLOOKUP($B26,자재리스트!$B$4:$M$92,7,FALSE),)</f>
        <v>개</v>
      </c>
      <c r="I26" s="29">
        <v>3</v>
      </c>
      <c r="J26" s="29" t="str">
        <f>IFERROR(VLOOKUP($B26,자재리스트!$B$4:$M$92,8,FALSE),)</f>
        <v>KRW</v>
      </c>
      <c r="K26" s="29">
        <f>IFERROR(VLOOKUP($B26,자재리스트!$B$4:$M$92,9,FALSE),)</f>
        <v>220965</v>
      </c>
      <c r="L26" s="29">
        <f t="shared" si="0"/>
        <v>662895</v>
      </c>
      <c r="M26" s="27" t="str">
        <f>IFERROR(VLOOKUP($B26,자재리스트!$B$4:$M$92,10,FALSE),)</f>
        <v>센서캠</v>
      </c>
      <c r="N26" s="27" t="str">
        <f>IFERROR(VLOOKUP($B26,자재리스트!$B$4:$M$92,11,FALSE),)</f>
        <v>거래명세서</v>
      </c>
      <c r="O26" s="27" t="str">
        <f>IFERROR(VLOOKUP($B26,자재리스트!$B$4:$M$92,12,FALSE),)</f>
        <v>1세대 용 (직경 42mm)</v>
      </c>
    </row>
    <row r="27" spans="1:15" ht="25.25" customHeight="1" x14ac:dyDescent="0.45">
      <c r="A27" s="26">
        <v>22</v>
      </c>
      <c r="B27" s="27" t="s">
        <v>70</v>
      </c>
      <c r="C27" s="28" t="str">
        <f>IFERROR(VLOOKUP($B27,자재리스트!$B$4:$M$92,2,FALSE),)</f>
        <v>NAS junction box</v>
      </c>
      <c r="D27" s="27"/>
      <c r="E27" s="27" t="str">
        <f>IFERROR(VLOOKUP($B27,자재리스트!$B$4:$M$92,4,FALSE),)</f>
        <v>정션박스</v>
      </c>
      <c r="F27" s="27" t="str">
        <f>IFERROR(VLOOKUP($B27,자재리스트!$B$4:$M$92,5,FALSE),)</f>
        <v xml:space="preserve"> - </v>
      </c>
      <c r="G27" s="27" t="str">
        <f>IFERROR(VLOOKUP($B27,자재리스트!$B$5:$M$92,6,FALSE),)</f>
        <v>한국</v>
      </c>
      <c r="H27" s="27" t="str">
        <f>IFERROR(VLOOKUP($B27,자재리스트!$B$4:$M$92,7,FALSE),)</f>
        <v>개</v>
      </c>
      <c r="I27" s="29">
        <v>1</v>
      </c>
      <c r="J27" s="29" t="str">
        <f>IFERROR(VLOOKUP($B27,자재리스트!$B$4:$M$92,8,FALSE),)</f>
        <v>KRW</v>
      </c>
      <c r="K27" s="29">
        <f>IFERROR(VLOOKUP($B27,자재리스트!$B$4:$M$92,9,FALSE),)</f>
        <v>1000000</v>
      </c>
      <c r="L27" s="29">
        <f t="shared" si="0"/>
        <v>1000000</v>
      </c>
      <c r="M27" s="27" t="str">
        <f>IFERROR(VLOOKUP($B27,자재리스트!$B$4:$M$92,10,FALSE),)</f>
        <v>MRC</v>
      </c>
      <c r="N27" s="27" t="str">
        <f>IFERROR(VLOOKUP($B27,자재리스트!$B$4:$M$92,11,FALSE),)</f>
        <v>거래명세서</v>
      </c>
      <c r="O27" s="27" t="str">
        <f>IFERROR(VLOOKUP($B27,자재리스트!$B$4:$M$92,12,FALSE),)</f>
        <v xml:space="preserve"> - </v>
      </c>
    </row>
    <row r="28" spans="1:15" ht="25.25" customHeight="1" x14ac:dyDescent="0.45">
      <c r="A28" s="26">
        <v>23</v>
      </c>
      <c r="B28" s="27" t="s">
        <v>71</v>
      </c>
      <c r="C28" s="28" t="str">
        <f>IFERROR(VLOOKUP($B28,자재리스트!$B$4:$M$92,2,FALSE),)</f>
        <v>Single Board Computer</v>
      </c>
      <c r="D28" s="27"/>
      <c r="E28" s="27" t="str">
        <f>IFERROR(VLOOKUP($B28,자재리스트!$B$4:$M$92,4,FALSE),)</f>
        <v>카메라와 서버 연동</v>
      </c>
      <c r="F28" s="27" t="str">
        <f>IFERROR(VLOOKUP($B28,자재리스트!$B$4:$M$92,5,FALSE),)</f>
        <v xml:space="preserve"> - </v>
      </c>
      <c r="G28" s="27" t="str">
        <f>IFERROR(VLOOKUP($B28,자재리스트!$B$5:$M$92,6,FALSE),)</f>
        <v>인도</v>
      </c>
      <c r="H28" s="27" t="str">
        <f>IFERROR(VLOOKUP($B28,자재리스트!$B$4:$M$92,7,FALSE),)</f>
        <v>개</v>
      </c>
      <c r="I28" s="29">
        <v>2</v>
      </c>
      <c r="J28" s="29" t="str">
        <f>IFERROR(VLOOKUP($B28,자재리스트!$B$4:$M$92,8,FALSE),)</f>
        <v>KRW</v>
      </c>
      <c r="K28" s="29">
        <f>IFERROR(VLOOKUP($B28,자재리스트!$B$4:$M$92,9,FALSE),)</f>
        <v>4508312</v>
      </c>
      <c r="L28" s="29">
        <f t="shared" si="0"/>
        <v>9016624</v>
      </c>
      <c r="M28" s="27" t="str">
        <f>IFERROR(VLOOKUP($B28,자재리스트!$B$4:$M$92,10,FALSE),)</f>
        <v>사이더스/e-con</v>
      </c>
      <c r="N28" s="27" t="str">
        <f>IFERROR(VLOOKUP($B28,자재리스트!$B$4:$M$92,11,FALSE),)</f>
        <v>거래명세서</v>
      </c>
      <c r="O28" s="27" t="str">
        <f>IFERROR(VLOOKUP($B28,자재리스트!$B$4:$M$92,12,FALSE),)</f>
        <v xml:space="preserve"> - </v>
      </c>
    </row>
    <row r="29" spans="1:15" ht="25.25" customHeight="1" x14ac:dyDescent="0.45">
      <c r="A29" s="26">
        <v>27</v>
      </c>
      <c r="B29" s="27" t="s">
        <v>83</v>
      </c>
      <c r="C29" s="28" t="str">
        <f>IFERROR(VLOOKUP($B29,자재리스트!$B$4:$M$92,2,FALSE),)</f>
        <v>SMPS</v>
      </c>
      <c r="D29" s="27"/>
      <c r="E29" s="27" t="str">
        <f>IFERROR(VLOOKUP($B29,자재리스트!$B$4:$M$92,4,FALSE),)</f>
        <v>Single Board Computer  전원 공급</v>
      </c>
      <c r="F29" s="27" t="str">
        <f>IFERROR(VLOOKUP($B29,자재리스트!$B$4:$M$92,5,FALSE),)</f>
        <v xml:space="preserve"> - </v>
      </c>
      <c r="G29" s="27" t="str">
        <f>IFERROR(VLOOKUP($B29,자재리스트!$B$5:$M$92,6,FALSE),)</f>
        <v>한국</v>
      </c>
      <c r="H29" s="27" t="str">
        <f>IFERROR(VLOOKUP($B29,자재리스트!$B$4:$M$92,7,FALSE),)</f>
        <v>개</v>
      </c>
      <c r="I29" s="29">
        <v>6</v>
      </c>
      <c r="J29" s="29" t="str">
        <f>IFERROR(VLOOKUP($B29,자재리스트!$B$4:$M$92,8,FALSE),)</f>
        <v>KRW</v>
      </c>
      <c r="K29" s="29">
        <f>IFERROR(VLOOKUP($B29,자재리스트!$B$4:$M$92,9,FALSE),)</f>
        <v>150000</v>
      </c>
      <c r="L29" s="29">
        <f>I29*K29</f>
        <v>900000</v>
      </c>
      <c r="M29" s="27" t="str">
        <f>IFERROR(VLOOKUP($B29,자재리스트!$B$4:$M$92,10,FALSE),)</f>
        <v>파워캅</v>
      </c>
      <c r="N29" s="27" t="str">
        <f>IFERROR(VLOOKUP($B29,자재리스트!$B$4:$M$92,11,FALSE),)</f>
        <v>거래명세서</v>
      </c>
      <c r="O29" s="27" t="str">
        <f>IFERROR(VLOOKUP($B29,자재리스트!$B$4:$M$92,12,FALSE),)</f>
        <v xml:space="preserve"> - </v>
      </c>
    </row>
    <row r="30" spans="1:15" ht="25.25" customHeight="1" x14ac:dyDescent="0.45">
      <c r="A30" s="26">
        <v>28</v>
      </c>
      <c r="B30" s="27" t="s">
        <v>84</v>
      </c>
      <c r="C30" s="28" t="str">
        <f>IFERROR(VLOOKUP($B30,자재리스트!$B$4:$M$92,2,FALSE),)</f>
        <v>EMI/EMC filter</v>
      </c>
      <c r="D30" s="27"/>
      <c r="E30" s="27" t="str">
        <f>IFERROR(VLOOKUP($B30,자재리스트!$B$4:$M$92,4,FALSE),)</f>
        <v>정션박스 전자파 차폐용</v>
      </c>
      <c r="F30" s="27" t="str">
        <f>IFERROR(VLOOKUP($B30,자재리스트!$B$4:$M$92,5,FALSE),)</f>
        <v xml:space="preserve"> - </v>
      </c>
      <c r="G30" s="27" t="str">
        <f>IFERROR(VLOOKUP($B30,자재리스트!$B$5:$M$92,6,FALSE),)</f>
        <v>한국</v>
      </c>
      <c r="H30" s="27" t="str">
        <f>IFERROR(VLOOKUP($B30,자재리스트!$B$4:$M$92,7,FALSE),)</f>
        <v>개</v>
      </c>
      <c r="I30" s="29">
        <v>7</v>
      </c>
      <c r="J30" s="29" t="str">
        <f>IFERROR(VLOOKUP($B30,자재리스트!$B$4:$M$92,8,FALSE),)</f>
        <v>KRW</v>
      </c>
      <c r="K30" s="29">
        <f>IFERROR(VLOOKUP($B30,자재리스트!$B$4:$M$92,9,FALSE),)</f>
        <v>77000</v>
      </c>
      <c r="L30" s="29">
        <f>I30*K30</f>
        <v>539000</v>
      </c>
      <c r="M30" s="27" t="str">
        <f>IFERROR(VLOOKUP($B30,자재리스트!$B$4:$M$92,10,FALSE),)</f>
        <v>오키</v>
      </c>
      <c r="N30" s="27" t="str">
        <f>IFERROR(VLOOKUP($B30,자재리스트!$B$4:$M$92,11,FALSE),)</f>
        <v>거래명세서</v>
      </c>
      <c r="O30" s="27" t="str">
        <f>IFERROR(VLOOKUP($B30,자재리스트!$B$4:$M$92,12,FALSE),)</f>
        <v xml:space="preserve"> - </v>
      </c>
    </row>
    <row r="31" spans="1:15" ht="25.25" customHeight="1" x14ac:dyDescent="0.45">
      <c r="A31" s="26">
        <v>11</v>
      </c>
      <c r="B31" s="27" t="s">
        <v>75</v>
      </c>
      <c r="C31" s="28" t="str">
        <f>IFERROR(VLOOKUP($B31,자재리스트!$B$4:$M$92,2,FALSE),)</f>
        <v>UPS</v>
      </c>
      <c r="D31" s="27"/>
      <c r="E31" s="27" t="str">
        <f>IFERROR(VLOOKUP($B31,자재리스트!$B$4:$M$92,4,FALSE),)</f>
        <v>1kVA, 무정전 전원 공급, Stand type</v>
      </c>
      <c r="F31" s="27" t="str">
        <f>IFERROR(VLOOKUP($B31,자재리스트!$B$4:$M$92,5,FALSE),)</f>
        <v xml:space="preserve"> - </v>
      </c>
      <c r="G31" s="27" t="str">
        <f>IFERROR(VLOOKUP($B31,자재리스트!$B$5:$M$92,6,FALSE),)</f>
        <v>한국</v>
      </c>
      <c r="H31" s="27" t="str">
        <f>IFERROR(VLOOKUP($B31,자재리스트!$B$4:$M$92,7,FALSE),)</f>
        <v>개</v>
      </c>
      <c r="I31" s="29">
        <v>1</v>
      </c>
      <c r="J31" s="29" t="str">
        <f>IFERROR(VLOOKUP($B31,자재리스트!$B$4:$M$92,8,FALSE),)</f>
        <v>KRW</v>
      </c>
      <c r="K31" s="29">
        <f>IFERROR(VLOOKUP($B31,자재리스트!$B$4:$M$92,9,FALSE),)</f>
        <v>1325500</v>
      </c>
      <c r="L31" s="29">
        <f>I31*K31</f>
        <v>1325500</v>
      </c>
      <c r="M31" s="27" t="str">
        <f>IFERROR(VLOOKUP($B31,자재리스트!$B$4:$M$92,10,FALSE),)</f>
        <v>기호티이에스</v>
      </c>
      <c r="N31" s="27" t="str">
        <f>IFERROR(VLOOKUP($B31,자재리스트!$B$4:$M$92,11,FALSE),)</f>
        <v>거래명세서</v>
      </c>
      <c r="O31" s="27" t="str">
        <f>IFERROR(VLOOKUP($B31,자재리스트!$B$4:$M$92,12,FALSE),)</f>
        <v>마린필터, network card, 케이블 포함</v>
      </c>
    </row>
    <row r="32" spans="1:15" ht="25.25" customHeight="1" x14ac:dyDescent="0.45">
      <c r="A32" s="26">
        <v>25</v>
      </c>
      <c r="B32" s="27" t="s">
        <v>76</v>
      </c>
      <c r="C32" s="28" t="str">
        <f>IFERROR(VLOOKUP($B32,자재리스트!$B$4:$M$92,2,FALSE),)</f>
        <v>멀티탭</v>
      </c>
      <c r="D32" s="27"/>
      <c r="E32" s="27" t="str">
        <f>IFERROR(VLOOKUP($B32,자재리스트!$B$4:$M$92,4,FALSE),)</f>
        <v>UPS용</v>
      </c>
      <c r="F32" s="27" t="str">
        <f>IFERROR(VLOOKUP($B32,자재리스트!$B$4:$M$92,5,FALSE),)</f>
        <v xml:space="preserve"> - </v>
      </c>
      <c r="G32" s="27" t="str">
        <f>IFERROR(VLOOKUP($B32,자재리스트!$B$5:$M$92,6,FALSE),)</f>
        <v>한국</v>
      </c>
      <c r="H32" s="27" t="str">
        <f>IFERROR(VLOOKUP($B32,자재리스트!$B$4:$M$92,7,FALSE),)</f>
        <v>개</v>
      </c>
      <c r="I32" s="29">
        <v>4</v>
      </c>
      <c r="J32" s="29" t="str">
        <f>IFERROR(VLOOKUP($B32,자재리스트!$B$4:$M$92,8,FALSE),)</f>
        <v>KRW</v>
      </c>
      <c r="K32" s="29">
        <f>IFERROR(VLOOKUP($B32,자재리스트!$B$4:$M$92,9,FALSE),)</f>
        <v>10800</v>
      </c>
      <c r="L32" s="29">
        <f t="shared" ref="L32:L37" si="1">I32*K32</f>
        <v>43200</v>
      </c>
      <c r="M32" s="27" t="str">
        <f>IFERROR(VLOOKUP($B32,자재리스트!$B$4:$M$92,10,FALSE),)</f>
        <v>쿠팡</v>
      </c>
      <c r="N32" s="27" t="str">
        <f>IFERROR(VLOOKUP($B32,자재리스트!$B$4:$M$92,11,FALSE),)</f>
        <v>거래명세서</v>
      </c>
      <c r="O32" s="27" t="str">
        <f>IFERROR(VLOOKUP($B32,자재리스트!$B$4:$M$92,12,FALSE),)</f>
        <v xml:space="preserve"> - </v>
      </c>
    </row>
    <row r="33" spans="1:15" ht="25.25" customHeight="1" x14ac:dyDescent="0.45">
      <c r="A33" s="26">
        <v>26</v>
      </c>
      <c r="B33" s="27" t="s">
        <v>77</v>
      </c>
      <c r="C33" s="28" t="str">
        <f>IFERROR(VLOOKUP($B33,자재리스트!$B$4:$M$92,2,FALSE),)</f>
        <v>C13-C14(MALE)</v>
      </c>
      <c r="D33" s="27"/>
      <c r="E33" s="27" t="str">
        <f>IFERROR(VLOOKUP($B33,자재리스트!$B$4:$M$92,4,FALSE),)</f>
        <v>UPS용</v>
      </c>
      <c r="F33" s="27" t="str">
        <f>IFERROR(VLOOKUP($B33,자재리스트!$B$4:$M$92,5,FALSE),)</f>
        <v xml:space="preserve"> - </v>
      </c>
      <c r="G33" s="27" t="str">
        <f>IFERROR(VLOOKUP($B33,자재리스트!$B$5:$M$92,6,FALSE),)</f>
        <v>한국</v>
      </c>
      <c r="H33" s="27" t="str">
        <f>IFERROR(VLOOKUP($B33,자재리스트!$B$4:$M$92,7,FALSE),)</f>
        <v>개</v>
      </c>
      <c r="I33" s="29">
        <v>5</v>
      </c>
      <c r="J33" s="29" t="str">
        <f>IFERROR(VLOOKUP($B33,자재리스트!$B$4:$M$92,8,FALSE),)</f>
        <v>KRW</v>
      </c>
      <c r="K33" s="29">
        <f>IFERROR(VLOOKUP($B33,자재리스트!$B$4:$M$92,9,FALSE),)</f>
        <v>9900</v>
      </c>
      <c r="L33" s="29">
        <f t="shared" si="1"/>
        <v>49500</v>
      </c>
      <c r="M33" s="27" t="str">
        <f>IFERROR(VLOOKUP($B33,자재리스트!$B$4:$M$92,10,FALSE),)</f>
        <v>한주전자</v>
      </c>
      <c r="N33" s="27" t="str">
        <f>IFERROR(VLOOKUP($B33,자재리스트!$B$4:$M$92,11,FALSE),)</f>
        <v>거래명세서</v>
      </c>
      <c r="O33" s="27" t="str">
        <f>IFERROR(VLOOKUP($B33,자재리스트!$B$4:$M$92,12,FALSE),)</f>
        <v xml:space="preserve"> - </v>
      </c>
    </row>
    <row r="34" spans="1:15" ht="25.25" customHeight="1" x14ac:dyDescent="0.45">
      <c r="A34" s="26">
        <v>15</v>
      </c>
      <c r="B34" s="46" t="s">
        <v>92</v>
      </c>
      <c r="C34" s="28" t="str">
        <f>IFERROR(VLOOKUP($B34,자재리스트!$B$4:$M$92,2,FALSE),)</f>
        <v>Selector Switch</v>
      </c>
      <c r="D34" s="27"/>
      <c r="E34" s="27" t="str">
        <f>IFERROR(VLOOKUP($B34,자재리스트!$B$4:$M$92,4,FALSE),)</f>
        <v>HiNAS control 선택 스위치</v>
      </c>
      <c r="F34" s="27" t="str">
        <f>IFERROR(VLOOKUP($B34,자재리스트!$B$4:$M$92,5,FALSE),)</f>
        <v xml:space="preserve"> - </v>
      </c>
      <c r="G34" s="27" t="str">
        <f>IFERROR(VLOOKUP($B34,자재리스트!$B$5:$M$92,6,FALSE),)</f>
        <v>한국</v>
      </c>
      <c r="H34" s="27" t="str">
        <f>IFERROR(VLOOKUP($B34,자재리스트!$B$4:$M$92,7,FALSE),)</f>
        <v>개</v>
      </c>
      <c r="I34" s="29">
        <v>1</v>
      </c>
      <c r="J34" s="29" t="str">
        <f>IFERROR(VLOOKUP($B34,자재리스트!$B$4:$M$92,8,FALSE),)</f>
        <v>USD</v>
      </c>
      <c r="K34" s="29">
        <f>IFERROR(VLOOKUP($B34,자재리스트!$B$4:$M$92,9,FALSE),)</f>
        <v>1330</v>
      </c>
      <c r="L34" s="29">
        <f>I34*K34</f>
        <v>1330</v>
      </c>
      <c r="M34" s="27" t="str">
        <f>IFERROR(VLOOKUP($B34,자재리스트!$B$4:$M$92,10,FALSE),)</f>
        <v>MRC/YDK</v>
      </c>
      <c r="N34" s="27" t="str">
        <f>IFERROR(VLOOKUP($B34,자재리스트!$B$4:$M$92,11,FALSE),)</f>
        <v>거래명세서</v>
      </c>
      <c r="O34" s="27" t="str">
        <f>IFERROR(VLOOKUP($B34,자재리스트!$B$4:$M$92,12,FALSE),)</f>
        <v>YOKOGAWA (w. DIMMER BOX)</v>
      </c>
    </row>
    <row r="35" spans="1:15" ht="25.25" customHeight="1" x14ac:dyDescent="0.45">
      <c r="A35" s="26">
        <v>16</v>
      </c>
      <c r="B35" s="46" t="s">
        <v>116</v>
      </c>
      <c r="C35" s="28" t="str">
        <f>IFERROR(VLOOKUP($B35,자재리스트!$B$4:$M$92,2,FALSE),)</f>
        <v>AP</v>
      </c>
      <c r="D35" s="27"/>
      <c r="E35" s="27" t="str">
        <f>IFERROR(VLOOKUP($B35,자재리스트!$B$4:$M$92,4,FALSE),)</f>
        <v>무선 공유기</v>
      </c>
      <c r="F35" s="27" t="str">
        <f>IFERROR(VLOOKUP($B35,자재리스트!$B$4:$M$92,5,FALSE),)</f>
        <v xml:space="preserve"> - </v>
      </c>
      <c r="G35" s="27" t="str">
        <f>IFERROR(VLOOKUP($B35,자재리스트!$B$5:$M$92,6,FALSE),)</f>
        <v>한국</v>
      </c>
      <c r="H35" s="27" t="str">
        <f>IFERROR(VLOOKUP($B35,자재리스트!$B$4:$M$92,7,FALSE),)</f>
        <v>개</v>
      </c>
      <c r="I35" s="29">
        <v>2</v>
      </c>
      <c r="J35" s="29" t="str">
        <f>IFERROR(VLOOKUP($B35,자재리스트!$B$4:$M$92,8,FALSE),)</f>
        <v>KRW</v>
      </c>
      <c r="K35" s="29">
        <f>IFERROR(VLOOKUP($B35,자재리스트!$B$4:$M$92,9,FALSE),)</f>
        <v>72000</v>
      </c>
      <c r="L35" s="29">
        <f>I35*K35</f>
        <v>144000</v>
      </c>
      <c r="M35" s="27" t="str">
        <f>IFERROR(VLOOKUP($B35,자재리스트!$B$4:$M$92,10,FALSE),)</f>
        <v>쿠팡</v>
      </c>
      <c r="N35" s="27" t="str">
        <f>IFERROR(VLOOKUP($B35,자재리스트!$B$4:$M$92,11,FALSE),)</f>
        <v>거래명세서</v>
      </c>
      <c r="O35" s="27" t="str">
        <f>IFERROR(VLOOKUP($B35,자재리스트!$B$4:$M$92,12,FALSE),)</f>
        <v xml:space="preserve"> - </v>
      </c>
    </row>
    <row r="36" spans="1:15" ht="25.25" customHeight="1" x14ac:dyDescent="0.45">
      <c r="A36" s="26">
        <v>17</v>
      </c>
      <c r="B36" s="41" t="s">
        <v>117</v>
      </c>
      <c r="C36" s="28" t="str">
        <f>IFERROR(VLOOKUP($B36,자재리스트!$B$4:$M$92,2,FALSE),)</f>
        <v>Tablet PC</v>
      </c>
      <c r="D36" s="27"/>
      <c r="E36" s="27" t="str">
        <f>IFERROR(VLOOKUP($B36,자재리스트!$B$4:$M$92,4,FALSE),)</f>
        <v>Portable 모니터</v>
      </c>
      <c r="F36" s="27" t="str">
        <f>IFERROR(VLOOKUP($B36,자재리스트!$B$4:$M$92,5,FALSE),)</f>
        <v xml:space="preserve"> - </v>
      </c>
      <c r="G36" s="27" t="str">
        <f>IFERROR(VLOOKUP($B36,자재리스트!$B$5:$M$92,6,FALSE),)</f>
        <v>한국</v>
      </c>
      <c r="H36" s="27" t="str">
        <f>IFERROR(VLOOKUP($B36,자재리스트!$B$4:$M$92,7,FALSE),)</f>
        <v>개</v>
      </c>
      <c r="I36" s="29">
        <v>2</v>
      </c>
      <c r="J36" s="29" t="str">
        <f>IFERROR(VLOOKUP($B36,자재리스트!$B$4:$M$92,8,FALSE),)</f>
        <v>KRW</v>
      </c>
      <c r="K36" s="29">
        <f>IFERROR(VLOOKUP($B36,자재리스트!$B$4:$M$92,9,FALSE),)</f>
        <v>650000</v>
      </c>
      <c r="L36" s="29">
        <f>I36*K36</f>
        <v>1300000</v>
      </c>
      <c r="M36" s="27" t="str">
        <f>IFERROR(VLOOKUP($B36,자재리스트!$B$4:$M$92,10,FALSE),)</f>
        <v>컴퓨존</v>
      </c>
      <c r="N36" s="27" t="str">
        <f>IFERROR(VLOOKUP($B36,자재리스트!$B$4:$M$92,11,FALSE),)</f>
        <v>거래명세서</v>
      </c>
      <c r="O36" s="27" t="str">
        <f>IFERROR(VLOOKUP($B36,자재리스트!$B$4:$M$92,12,FALSE),)</f>
        <v>COVER CASE, POWER ADAPTER 포함</v>
      </c>
    </row>
    <row r="37" spans="1:15" ht="24.75" customHeight="1" x14ac:dyDescent="0.45">
      <c r="A37" s="26">
        <v>29</v>
      </c>
      <c r="B37" s="27" t="s">
        <v>118</v>
      </c>
      <c r="C37" s="28">
        <f>IFERROR(VLOOKUP($B37,자재리스트!$B$4:$M$92,2,FALSE),)</f>
        <v>0</v>
      </c>
      <c r="D37" s="27"/>
      <c r="E37" s="27">
        <f>IFERROR(VLOOKUP($B37,자재리스트!$B$4:$M$92,4,FALSE),)</f>
        <v>0</v>
      </c>
      <c r="F37" s="27">
        <f>IFERROR(VLOOKUP($B37,자재리스트!$B$4:$M$92,5,FALSE),)</f>
        <v>0</v>
      </c>
      <c r="G37" s="27">
        <f>IFERROR(VLOOKUP($B37,자재리스트!$B$5:$M$92,6,FALSE),)</f>
        <v>0</v>
      </c>
      <c r="H37" s="27">
        <f>IFERROR(VLOOKUP($B37,자재리스트!$B$4:$M$92,7,FALSE),)</f>
        <v>0</v>
      </c>
      <c r="I37" s="29">
        <v>8</v>
      </c>
      <c r="J37" s="29">
        <f>IFERROR(VLOOKUP($B37,자재리스트!$B$4:$M$92,8,FALSE),)</f>
        <v>0</v>
      </c>
      <c r="K37" s="29">
        <f>IFERROR(VLOOKUP($B37,자재리스트!$B$4:$M$92,9,FALSE),)</f>
        <v>0</v>
      </c>
      <c r="L37" s="29">
        <f t="shared" si="1"/>
        <v>0</v>
      </c>
      <c r="M37" s="27">
        <f>IFERROR(VLOOKUP($B37,자재리스트!$B$4:$M$92,10,FALSE),)</f>
        <v>0</v>
      </c>
      <c r="N37" s="27">
        <f>IFERROR(VLOOKUP($B37,자재리스트!$B$4:$M$92,11,FALSE),)</f>
        <v>0</v>
      </c>
      <c r="O37" s="27">
        <f>IFERROR(VLOOKUP($B37,자재리스트!$B$4:$M$92,12,FALSE),)</f>
        <v>0</v>
      </c>
    </row>
    <row r="38" spans="1:15" ht="17.5" x14ac:dyDescent="0.45">
      <c r="A38" s="34"/>
      <c r="B38" s="34"/>
      <c r="C38" s="118" t="s">
        <v>78</v>
      </c>
      <c r="D38" s="118"/>
      <c r="E38" s="118"/>
      <c r="F38" s="118"/>
      <c r="G38" s="118"/>
      <c r="H38" s="118"/>
      <c r="I38" s="118"/>
      <c r="J38" s="118"/>
      <c r="K38" s="118"/>
      <c r="L38" s="118"/>
      <c r="M38" s="118"/>
      <c r="N38" s="118"/>
      <c r="O38" s="118"/>
    </row>
    <row r="39" spans="1:15" ht="17.5" x14ac:dyDescent="0.45">
      <c r="A39" s="34"/>
      <c r="B39" s="34"/>
      <c r="C39" s="118" t="s">
        <v>79</v>
      </c>
      <c r="D39" s="118"/>
      <c r="E39" s="118"/>
      <c r="F39" s="118"/>
      <c r="G39" s="118"/>
      <c r="H39" s="118"/>
      <c r="I39" s="118"/>
      <c r="J39" s="118"/>
      <c r="K39" s="118"/>
      <c r="L39" s="118"/>
      <c r="M39" s="118"/>
      <c r="N39" s="118"/>
      <c r="O39" s="118"/>
    </row>
    <row r="40" spans="1:15" x14ac:dyDescent="0.45">
      <c r="A40" s="34"/>
      <c r="B40" s="34"/>
      <c r="C40" s="34"/>
      <c r="D40" s="34"/>
      <c r="E40" s="34"/>
      <c r="F40" s="34"/>
      <c r="G40" s="34"/>
      <c r="H40" s="34"/>
      <c r="I40" s="34"/>
      <c r="J40" s="34"/>
      <c r="K40" s="34"/>
      <c r="L40" s="34"/>
      <c r="M40" s="34"/>
      <c r="N40" s="34"/>
      <c r="O40" s="34"/>
    </row>
  </sheetData>
  <mergeCells count="4">
    <mergeCell ref="A2:O2"/>
    <mergeCell ref="C10:D10"/>
    <mergeCell ref="C38:O38"/>
    <mergeCell ref="C39:O39"/>
  </mergeCells>
  <phoneticPr fontId="3" type="noConversion"/>
  <printOptions horizontalCentered="1"/>
  <pageMargins left="0.70866141732283472" right="0.70866141732283472" top="0.74803149606299213" bottom="0.74803149606299213" header="0.31496062992125984" footer="0.31496062992125984"/>
  <pageSetup paperSize="9" scale="70" fitToHeight="0" orientation="landscape" r:id="rId1"/>
  <headerFooter>
    <oddFooter>&amp;L_x000D_&amp;1#&amp;"Calibri"&amp;9&amp;K000000 Confidential | AVIKUS – Unauthorized distribution is strictly prohibited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617B-289D-4EF5-947B-60D863741D6B}">
  <sheetPr>
    <tabColor rgb="FFFF0000"/>
    <pageSetUpPr fitToPage="1"/>
  </sheetPr>
  <dimension ref="A2:P29"/>
  <sheetViews>
    <sheetView showGridLines="0" view="pageBreakPreview" topLeftCell="A10" zoomScaleNormal="100" zoomScaleSheetLayoutView="10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2" spans="1:16" ht="30" x14ac:dyDescent="0.45">
      <c r="A2" s="113" t="s">
        <v>38</v>
      </c>
      <c r="B2" s="113"/>
      <c r="C2" s="113"/>
      <c r="D2" s="113"/>
      <c r="E2" s="113"/>
      <c r="F2" s="113"/>
      <c r="G2" s="113"/>
      <c r="H2" s="113"/>
      <c r="I2" s="113"/>
      <c r="J2" s="113"/>
      <c r="K2" s="113"/>
      <c r="L2" s="113"/>
      <c r="M2" s="113"/>
      <c r="N2" s="113"/>
      <c r="O2" s="113"/>
    </row>
    <row r="3" spans="1:16" x14ac:dyDescent="0.45">
      <c r="C3" s="16" t="s">
        <v>39</v>
      </c>
    </row>
    <row r="4" spans="1:16" ht="21" customHeight="1" x14ac:dyDescent="0.45">
      <c r="A4" s="18" t="s">
        <v>40</v>
      </c>
      <c r="B4" s="19"/>
      <c r="C4" s="19" t="s">
        <v>41</v>
      </c>
      <c r="D4" s="20" t="s">
        <v>32</v>
      </c>
      <c r="E4" s="21"/>
      <c r="F4" s="21"/>
      <c r="G4" s="21"/>
      <c r="H4" s="21"/>
      <c r="I4" s="21"/>
      <c r="J4" s="21"/>
      <c r="K4" s="21"/>
      <c r="L4" s="21"/>
      <c r="M4" s="21"/>
      <c r="N4" s="21"/>
      <c r="O4" s="21"/>
    </row>
    <row r="5" spans="1:16" ht="21" customHeight="1" x14ac:dyDescent="0.45">
      <c r="A5" s="21" t="s">
        <v>43</v>
      </c>
      <c r="C5" s="16" t="s">
        <v>41</v>
      </c>
      <c r="D5" s="16" t="s">
        <v>119</v>
      </c>
      <c r="E5" s="21"/>
      <c r="F5" s="21"/>
      <c r="G5" s="21"/>
      <c r="H5" s="21"/>
      <c r="I5" s="21"/>
      <c r="J5" s="21"/>
      <c r="K5" s="21"/>
      <c r="L5" s="21"/>
      <c r="M5" s="21"/>
      <c r="N5" s="21"/>
      <c r="O5" s="21"/>
    </row>
    <row r="6" spans="1:16" ht="21" customHeight="1" x14ac:dyDescent="0.45">
      <c r="A6" s="21" t="s">
        <v>44</v>
      </c>
      <c r="C6" s="16" t="s">
        <v>41</v>
      </c>
      <c r="E6" s="21"/>
      <c r="F6" s="21"/>
      <c r="G6" s="21"/>
      <c r="H6" s="21"/>
      <c r="I6" s="21"/>
      <c r="J6" s="21"/>
      <c r="K6" s="21"/>
      <c r="L6" s="21"/>
      <c r="M6" s="21"/>
      <c r="N6" s="21"/>
      <c r="O6" s="21"/>
    </row>
    <row r="7" spans="1:16" ht="21" customHeight="1" x14ac:dyDescent="0.45">
      <c r="A7" s="21" t="s">
        <v>45</v>
      </c>
      <c r="C7" s="16" t="s">
        <v>41</v>
      </c>
      <c r="E7" s="21"/>
      <c r="F7" s="21" t="s">
        <v>39</v>
      </c>
      <c r="G7" s="21"/>
      <c r="H7" s="21"/>
      <c r="I7" s="21"/>
      <c r="J7" s="21"/>
      <c r="K7" s="21"/>
      <c r="L7" s="21"/>
      <c r="M7" s="21"/>
      <c r="N7" s="21"/>
      <c r="O7" s="21"/>
    </row>
    <row r="8" spans="1:16" ht="21" customHeight="1" x14ac:dyDescent="0.45">
      <c r="A8" s="21" t="s">
        <v>46</v>
      </c>
      <c r="E8" s="21"/>
      <c r="F8" s="21"/>
      <c r="G8" s="21"/>
      <c r="H8" s="21"/>
      <c r="I8" s="21"/>
      <c r="J8" s="21"/>
      <c r="K8" s="21"/>
      <c r="L8" s="21"/>
      <c r="M8" s="21"/>
      <c r="N8" s="21"/>
      <c r="O8" s="21"/>
    </row>
    <row r="9" spans="1:16" ht="6" customHeight="1" x14ac:dyDescent="0.45"/>
    <row r="10" spans="1:16" ht="34" x14ac:dyDescent="0.45">
      <c r="A10" s="23" t="s">
        <v>47</v>
      </c>
      <c r="B10" s="24" t="s">
        <v>48</v>
      </c>
      <c r="C10" s="114" t="s">
        <v>49</v>
      </c>
      <c r="D10" s="115"/>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41" t="s">
        <v>120</v>
      </c>
      <c r="C11" s="28" t="str">
        <f>IFERROR(VLOOKUP($B11,자재리스트!$B$4:$M$92,2,FALSE),)</f>
        <v>Monitor</v>
      </c>
      <c r="D11" s="27"/>
      <c r="E11" s="27" t="str">
        <f>IFERROR(VLOOKUP($B11,자재리스트!$B$4:$M$92,4,FALSE),)</f>
        <v>27인치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3020000</v>
      </c>
      <c r="L11" s="29">
        <f>I11*K11</f>
        <v>3020000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IFERROR(VLOOKUP($B12,자재리스트!$B$4:$M$92,6,FALSE),)</f>
        <v>중국</v>
      </c>
      <c r="H12" s="27" t="str">
        <f>IFERROR(VLOOKUP($B12,자재리스트!$B$4:$M$92,7,FALSE),)</f>
        <v>개</v>
      </c>
      <c r="I12" s="29">
        <v>2</v>
      </c>
      <c r="J12" s="29" t="str">
        <f>IFERROR(VLOOKUP($B12,자재리스트!$B$4:$M$92,8,FALSE),)</f>
        <v>KRW</v>
      </c>
      <c r="K12" s="29">
        <f>IFERROR(VLOOKUP($B12,자재리스트!$B$4:$M$92,9,FALSE),)</f>
        <v>3320000</v>
      </c>
      <c r="L12" s="29">
        <f t="shared" ref="L12:L26" si="0">I12*K12</f>
        <v>6640000</v>
      </c>
      <c r="M12" s="27" t="str">
        <f>IFERROR(VLOOKUP($B12,자재리스트!$B$4:$M$92,10,FALSE),)</f>
        <v>테트라다인</v>
      </c>
      <c r="N12" s="27" t="str">
        <f>IFERROR(VLOOKUP($B12,자재리스트!$B$4:$M$92,11,FALSE),)</f>
        <v>거래명세서</v>
      </c>
      <c r="O12" s="27" t="str">
        <f>IFERROR(VLOOKUP($B12,자재리스트!$B$4:$M$92,12,FALSE),)</f>
        <v xml:space="preserve"> - </v>
      </c>
      <c r="P12" s="30"/>
    </row>
    <row r="13" spans="1:16" ht="25.25" customHeight="1" x14ac:dyDescent="0.45">
      <c r="A13" s="26">
        <v>3</v>
      </c>
      <c r="B13" s="27" t="s">
        <v>71</v>
      </c>
      <c r="C13" s="28" t="str">
        <f>IFERROR(VLOOKUP($B13,자재리스트!$B$4:$M$92,2,FALSE),)</f>
        <v>Single Board Computer</v>
      </c>
      <c r="D13" s="27"/>
      <c r="E13" s="27" t="str">
        <f>IFERROR(VLOOKUP($B13,자재리스트!$B$4:$M$92,4,FALSE),)</f>
        <v>카메라와 서버 연동</v>
      </c>
      <c r="F13" s="27" t="str">
        <f>IFERROR(VLOOKUP($B13,자재리스트!$B$4:$M$92,5,FALSE),)</f>
        <v xml:space="preserve"> - </v>
      </c>
      <c r="G13" s="27" t="str">
        <f>IFERROR(VLOOKUP($B13,자재리스트!$B$4:$M$92,6,FALSE),)</f>
        <v>인도</v>
      </c>
      <c r="H13" s="27" t="str">
        <f>IFERROR(VLOOKUP($B13,자재리스트!$B$4:$M$92,7,FALSE),)</f>
        <v>개</v>
      </c>
      <c r="I13" s="29">
        <v>1</v>
      </c>
      <c r="J13" s="29" t="str">
        <f>IFERROR(VLOOKUP($B13,자재리스트!$B$4:$M$92,8,FALSE),)</f>
        <v>KRW</v>
      </c>
      <c r="K13" s="29">
        <f>IFERROR(VLOOKUP($B13,자재리스트!$B$4:$M$92,9,FALSE),)</f>
        <v>4508312</v>
      </c>
      <c r="L13" s="29">
        <f t="shared" si="0"/>
        <v>4508312</v>
      </c>
      <c r="M13" s="27" t="str">
        <f>IFERROR(VLOOKUP($B13,자재리스트!$B$4:$M$92,10,FALSE),)</f>
        <v>사이더스/e-con</v>
      </c>
      <c r="N13" s="27" t="str">
        <f>IFERROR(VLOOKUP($B13,자재리스트!$B$4:$M$92,11,FALSE),)</f>
        <v>거래명세서</v>
      </c>
      <c r="O13" s="27" t="str">
        <f>IFERROR(VLOOKUP($B13,자재리스트!$B$4:$M$92,12,FALSE),)</f>
        <v xml:space="preserve"> - </v>
      </c>
    </row>
    <row r="14" spans="1:16" ht="25.25" customHeight="1" x14ac:dyDescent="0.45">
      <c r="A14" s="26">
        <v>4</v>
      </c>
      <c r="B14" s="27" t="s">
        <v>67</v>
      </c>
      <c r="C14" s="28" t="str">
        <f>IFERROR(VLOOKUP($B14,자재리스트!$B$4:$M$92,2,FALSE),)</f>
        <v>EO Camera</v>
      </c>
      <c r="D14" s="27"/>
      <c r="E14" s="27" t="str">
        <f>IFERROR(VLOOKUP($B14,자재리스트!$B$4:$M$92,4,FALSE),)</f>
        <v>광학 카메라(4K)</v>
      </c>
      <c r="F14" s="27" t="str">
        <f>IFERROR(VLOOKUP($B14,자재리스트!$B$4:$M$92,5,FALSE),)</f>
        <v xml:space="preserve"> - </v>
      </c>
      <c r="G14" s="27" t="str">
        <f>IFERROR(VLOOKUP($B14,자재리스트!$B$4:$M$92,6,FALSE),)</f>
        <v>인도</v>
      </c>
      <c r="H14" s="27" t="str">
        <f>IFERROR(VLOOKUP($B14,자재리스트!$B$4:$M$92,7,FALSE),)</f>
        <v>개</v>
      </c>
      <c r="I14" s="29">
        <v>3</v>
      </c>
      <c r="J14" s="29" t="str">
        <f>IFERROR(VLOOKUP($B14,자재리스트!$B$4:$M$92,8,FALSE),)</f>
        <v>KRW</v>
      </c>
      <c r="K14" s="29">
        <f>IFERROR(VLOOKUP($B14,자재리스트!$B$4:$M$92,9,FALSE),)</f>
        <v>532576</v>
      </c>
      <c r="L14" s="29">
        <f t="shared" si="0"/>
        <v>1597728</v>
      </c>
      <c r="M14" s="27" t="str">
        <f>IFERROR(VLOOKUP($B14,자재리스트!$B$4:$M$92,10,FALSE),)</f>
        <v>사이더스/e-con</v>
      </c>
      <c r="N14" s="27" t="str">
        <f>IFERROR(VLOOKUP($B14,자재리스트!$B$4:$M$92,11,FALSE),)</f>
        <v>거래명세서</v>
      </c>
      <c r="O14" s="27" t="str">
        <f>IFERROR(VLOOKUP($B14,자재리스트!$B$4:$M$92,12,FALSE),)</f>
        <v>w. GMSL cable</v>
      </c>
    </row>
    <row r="15" spans="1:16" ht="25.25" customHeight="1" x14ac:dyDescent="0.45">
      <c r="A15" s="26">
        <v>5</v>
      </c>
      <c r="B15" s="27" t="s">
        <v>68</v>
      </c>
      <c r="C15" s="28" t="str">
        <f>IFERROR(VLOOKUP($B15,자재리스트!$B$4:$M$92,2,FALSE),)</f>
        <v>IR camera</v>
      </c>
      <c r="D15" s="27"/>
      <c r="E15" s="27" t="str">
        <f>IFERROR(VLOOKUP($B15,자재리스트!$B$4:$M$92,4,FALSE),)</f>
        <v>열화상 카메라</v>
      </c>
      <c r="F15" s="27" t="str">
        <f>IFERROR(VLOOKUP($B15,자재리스트!$B$4:$M$92,5,FALSE),)</f>
        <v xml:space="preserve"> - </v>
      </c>
      <c r="G15" s="27" t="str">
        <f>IFERROR(VLOOKUP($B15,자재리스트!$B$4:$M$92,6,FALSE),)</f>
        <v>미국</v>
      </c>
      <c r="H15" s="27" t="str">
        <f>IFERROR(VLOOKUP($B15,자재리스트!$B$4:$M$92,7,FALSE),)</f>
        <v>개</v>
      </c>
      <c r="I15" s="29">
        <v>3</v>
      </c>
      <c r="J15" s="29" t="str">
        <f>IFERROR(VLOOKUP($B15,자재리스트!$B$4:$M$92,8,FALSE),)</f>
        <v>KRW</v>
      </c>
      <c r="K15" s="29">
        <f>IFERROR(VLOOKUP($B15,자재리스트!$B$4:$M$92,9,FALSE),)</f>
        <v>2487523</v>
      </c>
      <c r="L15" s="29">
        <f t="shared" si="0"/>
        <v>7462569</v>
      </c>
      <c r="M15" s="27" t="str">
        <f>IFERROR(VLOOKUP($B15,자재리스트!$B$4:$M$92,10,FALSE),)</f>
        <v>IRKEN/FLIR</v>
      </c>
      <c r="N15" s="27" t="str">
        <f>IFERROR(VLOOKUP($B15,자재리스트!$B$4:$M$92,11,FALSE),)</f>
        <v>거래명세서</v>
      </c>
      <c r="O15" s="27" t="str">
        <f>IFERROR(VLOOKUP($B15,자재리스트!$B$4:$M$92,12,FALSE),)</f>
        <v>w. VPC KIT</v>
      </c>
    </row>
    <row r="16" spans="1:16" ht="25.25" customHeight="1" x14ac:dyDescent="0.45">
      <c r="A16" s="26">
        <v>6</v>
      </c>
      <c r="B16" s="27" t="s">
        <v>69</v>
      </c>
      <c r="C16" s="28" t="str">
        <f>IFERROR(VLOOKUP($B16,자재리스트!$B$4:$M$92,2,FALSE),)</f>
        <v>IR camera window</v>
      </c>
      <c r="D16" s="27"/>
      <c r="E16" s="27" t="str">
        <f>IFERROR(VLOOKUP($B16,자재리스트!$B$4:$M$92,4,FALSE),)</f>
        <v>열화상 카메라 윈도우</v>
      </c>
      <c r="F16" s="27" t="str">
        <f>IFERROR(VLOOKUP($B16,자재리스트!$B$4:$M$92,5,FALSE),)</f>
        <v xml:space="preserve"> - </v>
      </c>
      <c r="G16" s="27" t="str">
        <f>IFERROR(VLOOKUP($B16,자재리스트!$B$4:$M$92,6,FALSE),)</f>
        <v>중국</v>
      </c>
      <c r="H16" s="27" t="str">
        <f>IFERROR(VLOOKUP($B16,자재리스트!$B$4:$M$92,7,FALSE),)</f>
        <v>개</v>
      </c>
      <c r="I16" s="29">
        <v>3</v>
      </c>
      <c r="J16" s="29" t="str">
        <f>IFERROR(VLOOKUP($B16,자재리스트!$B$4:$M$92,8,FALSE),)</f>
        <v>KRW</v>
      </c>
      <c r="K16" s="29">
        <f>IFERROR(VLOOKUP($B16,자재리스트!$B$4:$M$92,9,FALSE),)</f>
        <v>220965</v>
      </c>
      <c r="L16" s="29">
        <f t="shared" si="0"/>
        <v>662895</v>
      </c>
      <c r="M16" s="27" t="str">
        <f>IFERROR(VLOOKUP($B16,자재리스트!$B$4:$M$92,10,FALSE),)</f>
        <v>센서캠</v>
      </c>
      <c r="N16" s="27" t="str">
        <f>IFERROR(VLOOKUP($B16,자재리스트!$B$4:$M$92,11,FALSE),)</f>
        <v>거래명세서</v>
      </c>
      <c r="O16" s="27" t="str">
        <f>IFERROR(VLOOKUP($B16,자재리스트!$B$4:$M$92,12,FALSE),)</f>
        <v>1세대 용 (직경 42mm)</v>
      </c>
    </row>
    <row r="17" spans="1:15" ht="25.25" customHeight="1" x14ac:dyDescent="0.45">
      <c r="A17" s="26">
        <v>7</v>
      </c>
      <c r="B17" s="27" t="s">
        <v>66</v>
      </c>
      <c r="C17" s="28" t="str">
        <f>IFERROR(VLOOKUP($B17,자재리스트!$B$4:$M$92,2,FALSE),)</f>
        <v>NAS camera housing</v>
      </c>
      <c r="D17" s="27"/>
      <c r="E17" s="27" t="str">
        <f>IFERROR(VLOOKUP($B17,자재리스트!$B$4:$M$92,4,FALSE),)</f>
        <v>하우징</v>
      </c>
      <c r="F17" s="27" t="str">
        <f>IFERROR(VLOOKUP($B17,자재리스트!$B$4:$M$92,5,FALSE),)</f>
        <v xml:space="preserve"> - </v>
      </c>
      <c r="G17" s="27" t="str">
        <f>IFERROR(VLOOKUP($B17,자재리스트!$B$4:$M$92,6,FALSE),)</f>
        <v>한국</v>
      </c>
      <c r="H17" s="27" t="str">
        <f>IFERROR(VLOOKUP($B17,자재리스트!$B$4:$M$92,7,FALSE),)</f>
        <v>개</v>
      </c>
      <c r="I17" s="29">
        <v>1</v>
      </c>
      <c r="J17" s="29" t="str">
        <f>IFERROR(VLOOKUP($B17,자재리스트!$B$4:$M$92,8,FALSE),)</f>
        <v>KRW</v>
      </c>
      <c r="K17" s="29">
        <f>IFERROR(VLOOKUP($B17,자재리스트!$B$4:$M$92,9,FALSE),)</f>
        <v>4300000</v>
      </c>
      <c r="L17" s="29">
        <f t="shared" si="0"/>
        <v>4300000</v>
      </c>
      <c r="M17" s="27" t="str">
        <f>IFERROR(VLOOKUP($B17,자재리스트!$B$4:$M$92,10,FALSE),)</f>
        <v>MRC</v>
      </c>
      <c r="N17" s="27" t="str">
        <f>IFERROR(VLOOKUP($B17,자재리스트!$B$4:$M$92,11,FALSE),)</f>
        <v>거래명세서</v>
      </c>
      <c r="O17" s="27" t="str">
        <f>IFERROR(VLOOKUP($B17,자재리스트!$B$4:$M$92,12,FALSE),)</f>
        <v xml:space="preserve"> - </v>
      </c>
    </row>
    <row r="18" spans="1:15" ht="25.25" customHeight="1" x14ac:dyDescent="0.45">
      <c r="A18" s="26">
        <v>8</v>
      </c>
      <c r="B18" s="27" t="s">
        <v>70</v>
      </c>
      <c r="C18" s="28" t="str">
        <f>IFERROR(VLOOKUP($B18,자재리스트!$B$4:$M$92,2,FALSE),)</f>
        <v>NAS junction box</v>
      </c>
      <c r="D18" s="27"/>
      <c r="E18" s="27" t="str">
        <f>IFERROR(VLOOKUP($B18,자재리스트!$B$4:$M$92,4,FALSE),)</f>
        <v>정션박스</v>
      </c>
      <c r="F18" s="27" t="str">
        <f>IFERROR(VLOOKUP($B18,자재리스트!$B$4:$M$92,5,FALSE),)</f>
        <v xml:space="preserve"> - </v>
      </c>
      <c r="G18" s="27" t="str">
        <f>IFERROR(VLOOKUP($B18,자재리스트!$B$4:$M$92,6,FALSE),)</f>
        <v>한국</v>
      </c>
      <c r="H18" s="27" t="str">
        <f>IFERROR(VLOOKUP($B18,자재리스트!$B$4:$M$92,7,FALSE),)</f>
        <v>개</v>
      </c>
      <c r="I18" s="29">
        <v>1</v>
      </c>
      <c r="J18" s="29" t="str">
        <f>IFERROR(VLOOKUP($B18,자재리스트!$B$4:$M$92,8,FALSE),)</f>
        <v>KRW</v>
      </c>
      <c r="K18" s="29">
        <f>IFERROR(VLOOKUP($B18,자재리스트!$B$4:$M$92,9,FALSE),)</f>
        <v>1000000</v>
      </c>
      <c r="L18" s="29">
        <f t="shared" si="0"/>
        <v>1000000</v>
      </c>
      <c r="M18" s="27" t="str">
        <f>IFERROR(VLOOKUP($B18,자재리스트!$B$4:$M$92,10,FALSE),)</f>
        <v>MRC</v>
      </c>
      <c r="N18" s="27" t="str">
        <f>IFERROR(VLOOKUP($B18,자재리스트!$B$4:$M$92,11,FALSE),)</f>
        <v>거래명세서</v>
      </c>
      <c r="O18" s="27" t="str">
        <f>IFERROR(VLOOKUP($B18,자재리스트!$B$4:$M$92,12,FALSE),)</f>
        <v xml:space="preserve"> - </v>
      </c>
    </row>
    <row r="19" spans="1:15" ht="25.25" customHeight="1" x14ac:dyDescent="0.45">
      <c r="A19" s="26">
        <v>9</v>
      </c>
      <c r="B19" s="27" t="s">
        <v>89</v>
      </c>
      <c r="C19" s="28" t="str">
        <f>IFERROR(VLOOKUP($B19,자재리스트!$B$4:$M$92,2,FALSE),)</f>
        <v>Network switch</v>
      </c>
      <c r="D19" s="27"/>
      <c r="E19" s="27" t="str">
        <f>IFERROR(VLOOKUP($B19,자재리스트!$B$4:$M$92,4,FALSE),)</f>
        <v>허브 (선급인증품)</v>
      </c>
      <c r="F19" s="27" t="str">
        <f>IFERROR(VLOOKUP($B19,자재리스트!$B$4:$M$92,5,FALSE),)</f>
        <v xml:space="preserve"> - </v>
      </c>
      <c r="G19" s="27" t="str">
        <f>IFERROR(VLOOKUP($B19,자재리스트!$B$4:$M$92,6,FALSE),)</f>
        <v>한국</v>
      </c>
      <c r="H19" s="27" t="str">
        <f>IFERROR(VLOOKUP($B19,자재리스트!$B$4:$M$92,7,FALSE),)</f>
        <v>개</v>
      </c>
      <c r="I19" s="29">
        <v>2</v>
      </c>
      <c r="J19" s="29" t="str">
        <f>IFERROR(VLOOKUP($B19,자재리스트!$B$4:$M$92,8,FALSE),)</f>
        <v>KRW</v>
      </c>
      <c r="K19" s="29">
        <f>IFERROR(VLOOKUP($B19,자재리스트!$B$4:$M$92,9,FALSE),)</f>
        <v>1596000</v>
      </c>
      <c r="L19" s="29">
        <f t="shared" si="0"/>
        <v>3192000</v>
      </c>
      <c r="M19" s="27" t="str">
        <f>IFERROR(VLOOKUP($B19,자재리스트!$B$4:$M$92,10,FALSE),)</f>
        <v>여의시스템</v>
      </c>
      <c r="N19" s="27" t="str">
        <f>IFERROR(VLOOKUP($B19,자재리스트!$B$4:$M$92,11,FALSE),)</f>
        <v>거래명세서</v>
      </c>
      <c r="O19" s="27" t="str">
        <f>IFERROR(VLOOKUP($B19,자재리스트!$B$4:$M$92,12,FALSE),)</f>
        <v xml:space="preserve"> - </v>
      </c>
    </row>
    <row r="20" spans="1:15" ht="25.25" customHeight="1" x14ac:dyDescent="0.45">
      <c r="A20" s="26">
        <v>10</v>
      </c>
      <c r="B20" s="27" t="s">
        <v>82</v>
      </c>
      <c r="C20" s="28" t="str">
        <f>IFERROR(VLOOKUP($B20,자재리스트!$B$4:$M$92,2,FALSE),)</f>
        <v>Firewall</v>
      </c>
      <c r="D20" s="27"/>
      <c r="E20" s="27" t="str">
        <f>IFERROR(VLOOKUP($B20,자재리스트!$B$4:$M$92,4,FALSE),)</f>
        <v>방화벽 (선급인증품)</v>
      </c>
      <c r="F20" s="27" t="str">
        <f>IFERROR(VLOOKUP($B20,자재리스트!$B$4:$M$92,5,FALSE),)</f>
        <v xml:space="preserve"> - </v>
      </c>
      <c r="G20" s="27" t="str">
        <f>IFERROR(VLOOKUP($B20,자재리스트!$B$4:$M$92,6,FALSE),)</f>
        <v>한국</v>
      </c>
      <c r="H20" s="27" t="str">
        <f>IFERROR(VLOOKUP($B20,자재리스트!$B$4:$M$92,7,FALSE),)</f>
        <v>개</v>
      </c>
      <c r="I20" s="29">
        <v>1</v>
      </c>
      <c r="J20" s="29" t="str">
        <f>IFERROR(VLOOKUP($B20,자재리스트!$B$4:$M$92,8,FALSE),)</f>
        <v>KRW</v>
      </c>
      <c r="K20" s="29">
        <f>IFERROR(VLOOKUP($B20,자재리스트!$B$4:$M$92,9,FALSE),)</f>
        <v>3800000</v>
      </c>
      <c r="L20" s="29">
        <f t="shared" si="0"/>
        <v>3800000</v>
      </c>
      <c r="M20" s="27" t="str">
        <f>IFERROR(VLOOKUP($B20,자재리스트!$B$4:$M$92,10,FALSE),)</f>
        <v>MRC</v>
      </c>
      <c r="N20" s="27" t="str">
        <f>IFERROR(VLOOKUP($B20,자재리스트!$B$4:$M$92,11,FALSE),)</f>
        <v>거래명세서</v>
      </c>
      <c r="O20" s="27" t="str">
        <f>IFERROR(VLOOKUP($B20,자재리스트!$B$4:$M$92,12,FALSE),)</f>
        <v xml:space="preserve"> - </v>
      </c>
    </row>
    <row r="21" spans="1:15" ht="25.25" customHeight="1" x14ac:dyDescent="0.45">
      <c r="A21" s="26">
        <v>11</v>
      </c>
      <c r="B21" s="41" t="s">
        <v>90</v>
      </c>
      <c r="C21" s="28" t="str">
        <f>IFERROR(VLOOKUP($B21,자재리스트!$B$4:$M$92,2,FALSE),)</f>
        <v>Serial to Ethernet</v>
      </c>
      <c r="D21" s="27"/>
      <c r="E21" s="27" t="str">
        <f>IFERROR(VLOOKUP($B21,자재리스트!$B$4:$M$92,4,FALSE),)</f>
        <v>시리얼 통신을 LAN으로 변환</v>
      </c>
      <c r="F21" s="27" t="str">
        <f>IFERROR(VLOOKUP($B21,자재리스트!$B$4:$M$92,5,FALSE),)</f>
        <v xml:space="preserve"> - </v>
      </c>
      <c r="G21" s="27" t="str">
        <f>IFERROR(VLOOKUP($B21,자재리스트!$B$4:$M$92,6,FALSE),)</f>
        <v>한국</v>
      </c>
      <c r="H21" s="27" t="str">
        <f>IFERROR(VLOOKUP($B21,자재리스트!$B$4:$M$92,7,FALSE),)</f>
        <v>개</v>
      </c>
      <c r="I21" s="29">
        <v>1</v>
      </c>
      <c r="J21" s="29" t="str">
        <f>IFERROR(VLOOKUP($B21,자재리스트!$B$4:$M$92,8,FALSE),)</f>
        <v>KRW</v>
      </c>
      <c r="K21" s="29">
        <f>IFERROR(VLOOKUP($B21,자재리스트!$B$4:$M$92,9,FALSE),)</f>
        <v>780000</v>
      </c>
      <c r="L21" s="29">
        <f t="shared" si="0"/>
        <v>780000</v>
      </c>
      <c r="M21" s="27" t="str">
        <f>IFERROR(VLOOKUP($B21,자재리스트!$B$4:$M$92,10,FALSE),)</f>
        <v>여의시스템</v>
      </c>
      <c r="N21" s="27" t="str">
        <f>IFERROR(VLOOKUP($B21,자재리스트!$B$4:$M$92,11,FALSE),)</f>
        <v>거래명세서</v>
      </c>
      <c r="O21" s="27" t="str">
        <f>IFERROR(VLOOKUP($B21,자재리스트!$B$4:$M$92,12,FALSE),)</f>
        <v xml:space="preserve"> - </v>
      </c>
    </row>
    <row r="22" spans="1:15" ht="25.25" customHeight="1" x14ac:dyDescent="0.45">
      <c r="A22" s="26">
        <v>12</v>
      </c>
      <c r="B22" s="27" t="s">
        <v>92</v>
      </c>
      <c r="C22" s="28" t="str">
        <f>IFERROR(VLOOKUP($B22,자재리스트!$B$4:$M$92,2,FALSE),)</f>
        <v>Selector Switch</v>
      </c>
      <c r="D22" s="27"/>
      <c r="E22" s="27" t="str">
        <f>IFERROR(VLOOKUP($B22,자재리스트!$B$4:$M$92,4,FALSE),)</f>
        <v>HiNAS control 선택 스위치</v>
      </c>
      <c r="F22" s="27" t="str">
        <f>IFERROR(VLOOKUP($B22,자재리스트!$B$4:$M$92,5,FALSE),)</f>
        <v xml:space="preserve"> - </v>
      </c>
      <c r="G22" s="27" t="str">
        <f>IFERROR(VLOOKUP($B22,자재리스트!$B$4:$M$92,6,FALSE),)</f>
        <v>한국</v>
      </c>
      <c r="H22" s="27" t="str">
        <f>IFERROR(VLOOKUP($B22,자재리스트!$B$4:$M$92,7,FALSE),)</f>
        <v>개</v>
      </c>
      <c r="I22" s="29">
        <v>1</v>
      </c>
      <c r="J22" s="29" t="str">
        <f>IFERROR(VLOOKUP($B22,자재리스트!$B$4:$M$92,8,FALSE),)</f>
        <v>USD</v>
      </c>
      <c r="K22" s="29">
        <f>IFERROR(VLOOKUP($B22,자재리스트!$B$4:$M$92,9,FALSE),)</f>
        <v>1330</v>
      </c>
      <c r="L22" s="29">
        <f t="shared" si="0"/>
        <v>1330</v>
      </c>
      <c r="M22" s="27" t="str">
        <f>IFERROR(VLOOKUP($B22,자재리스트!$B$4:$M$92,10,FALSE),)</f>
        <v>MRC/YDK</v>
      </c>
      <c r="N22" s="27" t="str">
        <f>IFERROR(VLOOKUP($B22,자재리스트!$B$4:$M$92,11,FALSE),)</f>
        <v>거래명세서</v>
      </c>
      <c r="O22" s="27" t="str">
        <f>IFERROR(VLOOKUP($B22,자재리스트!$B$4:$M$92,12,FALSE),)</f>
        <v>YOKOGAWA (w. DIMMER BOX)</v>
      </c>
    </row>
    <row r="23" spans="1:15" ht="25.25" customHeight="1" x14ac:dyDescent="0.45">
      <c r="A23" s="26">
        <v>13</v>
      </c>
      <c r="B23" s="41" t="s">
        <v>75</v>
      </c>
      <c r="C23" s="28" t="str">
        <f>IFERROR(VLOOKUP($B23,자재리스트!$B$4:$M$92,2,FALSE),)</f>
        <v>UPS</v>
      </c>
      <c r="D23" s="27"/>
      <c r="E23" s="27" t="str">
        <f>IFERROR(VLOOKUP($B23,자재리스트!$B$4:$M$92,4,FALSE),)</f>
        <v>1kVA, 무정전 전원 공급, Stand type</v>
      </c>
      <c r="F23" s="27" t="str">
        <f>IFERROR(VLOOKUP($B23,자재리스트!$B$4:$M$92,5,FALSE),)</f>
        <v xml:space="preserve"> - </v>
      </c>
      <c r="G23" s="27" t="str">
        <f>IFERROR(VLOOKUP($B23,자재리스트!$B$4:$M$92,6,FALSE),)</f>
        <v>한국</v>
      </c>
      <c r="H23" s="27" t="str">
        <f>IFERROR(VLOOKUP($B23,자재리스트!$B$4:$M$92,7,FALSE),)</f>
        <v>개</v>
      </c>
      <c r="I23" s="29">
        <v>1</v>
      </c>
      <c r="J23" s="29" t="str">
        <f>IFERROR(VLOOKUP($B23,자재리스트!$B$4:$M$92,8,FALSE),)</f>
        <v>KRW</v>
      </c>
      <c r="K23" s="29">
        <f>IFERROR(VLOOKUP($B23,자재리스트!$B$4:$M$92,9,FALSE),)</f>
        <v>1325500</v>
      </c>
      <c r="L23" s="29">
        <f t="shared" si="0"/>
        <v>1325500</v>
      </c>
      <c r="M23" s="27" t="str">
        <f>IFERROR(VLOOKUP($B23,자재리스트!$B$4:$M$92,10,FALSE),)</f>
        <v>기호티이에스</v>
      </c>
      <c r="N23" s="27" t="str">
        <f>IFERROR(VLOOKUP($B23,자재리스트!$B$4:$M$92,11,FALSE),)</f>
        <v>거래명세서</v>
      </c>
      <c r="O23" s="27" t="str">
        <f>IFERROR(VLOOKUP($B23,자재리스트!$B$4:$M$92,12,FALSE),)</f>
        <v>마린필터, network card, 케이블 포함</v>
      </c>
    </row>
    <row r="24" spans="1:15" ht="25.25" customHeight="1" x14ac:dyDescent="0.45">
      <c r="A24" s="26">
        <v>14</v>
      </c>
      <c r="B24" s="41" t="s">
        <v>121</v>
      </c>
      <c r="C24" s="28" t="str">
        <f>IFERROR(VLOOKUP($B24,자재리스트!$B$4:$M$92,2,FALSE),)</f>
        <v>keyboard &amp; mouse</v>
      </c>
      <c r="D24" s="27"/>
      <c r="E24" s="27" t="str">
        <f>IFERROR(VLOOKUP($B24,자재리스트!$B$4:$M$92,4,FALSE),)</f>
        <v>입력기기</v>
      </c>
      <c r="F24" s="27" t="str">
        <f>IFERROR(VLOOKUP($B24,자재리스트!$B$4:$M$92,5,FALSE),)</f>
        <v xml:space="preserve"> - </v>
      </c>
      <c r="G24" s="27" t="str">
        <f>IFERROR(VLOOKUP($B24,자재리스트!$B$4:$M$92,6,FALSE),)</f>
        <v>한국</v>
      </c>
      <c r="H24" s="27" t="str">
        <f>IFERROR(VLOOKUP($B24,자재리스트!$B$4:$M$92,7,FALSE),)</f>
        <v>세트</v>
      </c>
      <c r="I24" s="29">
        <v>1</v>
      </c>
      <c r="J24" s="29" t="str">
        <f>IFERROR(VLOOKUP($B24,자재리스트!$B$4:$M$92,8,FALSE),)</f>
        <v>KRW</v>
      </c>
      <c r="K24" s="29">
        <f>IFERROR(VLOOKUP($B24,자재리스트!$B$4:$M$92,9,FALSE),)</f>
        <v>50000</v>
      </c>
      <c r="L24" s="29">
        <f t="shared" si="0"/>
        <v>50000</v>
      </c>
      <c r="M24" s="27" t="str">
        <f>IFERROR(VLOOKUP($B24,자재리스트!$B$4:$M$92,10,FALSE),)</f>
        <v>MRC</v>
      </c>
      <c r="N24" s="27" t="str">
        <f>IFERROR(VLOOKUP($B24,자재리스트!$B$4:$M$92,11,FALSE),)</f>
        <v>거래명세서</v>
      </c>
      <c r="O24" s="27" t="str">
        <f>IFERROR(VLOOKUP($B24,자재리스트!$B$4:$M$92,12,FALSE),)</f>
        <v xml:space="preserve"> - </v>
      </c>
    </row>
    <row r="25" spans="1:15" ht="25.25" customHeight="1" x14ac:dyDescent="0.45">
      <c r="A25" s="26">
        <v>15</v>
      </c>
      <c r="B25" s="41" t="s">
        <v>116</v>
      </c>
      <c r="C25" s="28" t="str">
        <f>IFERROR(VLOOKUP($B25,자재리스트!$B$4:$M$92,2,FALSE),)</f>
        <v>AP</v>
      </c>
      <c r="D25" s="27"/>
      <c r="E25" s="27" t="str">
        <f>IFERROR(VLOOKUP($B25,자재리스트!$B$4:$M$92,4,FALSE),)</f>
        <v>무선 공유기</v>
      </c>
      <c r="F25" s="27" t="str">
        <f>IFERROR(VLOOKUP($B25,자재리스트!$B$4:$M$92,5,FALSE),)</f>
        <v xml:space="preserve"> - </v>
      </c>
      <c r="G25" s="27" t="str">
        <f>IFERROR(VLOOKUP($B25,자재리스트!$B$4:$M$92,6,FALSE),)</f>
        <v>한국</v>
      </c>
      <c r="H25" s="27" t="str">
        <f>IFERROR(VLOOKUP($B25,자재리스트!$B$4:$M$92,7,FALSE),)</f>
        <v>개</v>
      </c>
      <c r="I25" s="29">
        <v>1</v>
      </c>
      <c r="J25" s="29" t="str">
        <f>IFERROR(VLOOKUP($B25,자재리스트!$B$4:$M$92,8,FALSE),)</f>
        <v>KRW</v>
      </c>
      <c r="K25" s="29">
        <f>IFERROR(VLOOKUP($B25,자재리스트!$B$4:$M$92,9,FALSE),)</f>
        <v>72000</v>
      </c>
      <c r="L25" s="29">
        <f t="shared" si="0"/>
        <v>72000</v>
      </c>
      <c r="M25" s="27" t="str">
        <f>IFERROR(VLOOKUP($B25,자재리스트!$B$4:$M$92,10,FALSE),)</f>
        <v>쿠팡</v>
      </c>
      <c r="N25" s="27" t="str">
        <f>IFERROR(VLOOKUP($B25,자재리스트!$B$4:$M$92,11,FALSE),)</f>
        <v>거래명세서</v>
      </c>
      <c r="O25" s="27" t="str">
        <f>IFERROR(VLOOKUP($B25,자재리스트!$B$4:$M$92,12,FALSE),)</f>
        <v xml:space="preserve"> - </v>
      </c>
    </row>
    <row r="26" spans="1:15" ht="25.25" customHeight="1" x14ac:dyDescent="0.45">
      <c r="A26" s="26">
        <v>16</v>
      </c>
      <c r="B26" s="41" t="s">
        <v>117</v>
      </c>
      <c r="C26" s="28" t="str">
        <f>IFERROR(VLOOKUP($B26,자재리스트!$B$4:$M$92,2,FALSE),)</f>
        <v>Tablet PC</v>
      </c>
      <c r="D26" s="27"/>
      <c r="E26" s="27" t="str">
        <f>IFERROR(VLOOKUP($B26,자재리스트!$B$4:$M$92,4,FALSE),)</f>
        <v>Portable 모니터</v>
      </c>
      <c r="F26" s="27" t="str">
        <f>IFERROR(VLOOKUP($B26,자재리스트!$B$4:$M$92,5,FALSE),)</f>
        <v xml:space="preserve"> - </v>
      </c>
      <c r="G26" s="27" t="str">
        <f>IFERROR(VLOOKUP($B26,자재리스트!$B$4:$M$92,6,FALSE),)</f>
        <v>한국</v>
      </c>
      <c r="H26" s="27" t="str">
        <f>IFERROR(VLOOKUP($B26,자재리스트!$B$4:$M$92,7,FALSE),)</f>
        <v>개</v>
      </c>
      <c r="I26" s="29">
        <v>1</v>
      </c>
      <c r="J26" s="29" t="str">
        <f>IFERROR(VLOOKUP($B26,자재리스트!$B$4:$M$92,8,FALSE),)</f>
        <v>KRW</v>
      </c>
      <c r="K26" s="29">
        <f>IFERROR(VLOOKUP($B26,자재리스트!$B$4:$M$92,9,FALSE),)</f>
        <v>650000</v>
      </c>
      <c r="L26" s="29">
        <f t="shared" si="0"/>
        <v>650000</v>
      </c>
      <c r="M26" s="27" t="str">
        <f>IFERROR(VLOOKUP($B26,자재리스트!$B$4:$M$92,10,FALSE),)</f>
        <v>컴퓨존</v>
      </c>
      <c r="N26" s="27" t="str">
        <f>IFERROR(VLOOKUP($B26,자재리스트!$B$4:$M$92,11,FALSE),)</f>
        <v>거래명세서</v>
      </c>
      <c r="O26" s="27" t="str">
        <f>IFERROR(VLOOKUP($B26,자재리스트!$B$4:$M$92,12,FALSE),)</f>
        <v>COVER CASE, POWER ADAPTER 포함</v>
      </c>
    </row>
    <row r="27" spans="1:15" ht="24.75" customHeight="1" x14ac:dyDescent="0.45">
      <c r="A27" s="17"/>
      <c r="B27" s="31"/>
      <c r="C27" s="32"/>
      <c r="D27" s="31"/>
      <c r="E27" s="31"/>
      <c r="F27" s="31"/>
      <c r="G27" s="31"/>
      <c r="H27" s="31"/>
      <c r="I27" s="33"/>
      <c r="J27" s="33"/>
      <c r="K27" s="33"/>
      <c r="L27" s="33"/>
      <c r="M27" s="31"/>
      <c r="N27" s="31"/>
      <c r="O27" s="31"/>
    </row>
    <row r="28" spans="1:15" ht="17.5" x14ac:dyDescent="0.45">
      <c r="C28" s="116" t="s">
        <v>78</v>
      </c>
      <c r="D28" s="116"/>
      <c r="E28" s="116"/>
      <c r="F28" s="116"/>
      <c r="G28" s="116"/>
      <c r="H28" s="116"/>
      <c r="I28" s="116"/>
      <c r="J28" s="116"/>
      <c r="K28" s="116"/>
      <c r="L28" s="116"/>
      <c r="M28" s="116"/>
      <c r="N28" s="116"/>
      <c r="O28" s="116"/>
    </row>
    <row r="29" spans="1:15" ht="17.5" x14ac:dyDescent="0.45">
      <c r="C29" s="116" t="s">
        <v>79</v>
      </c>
      <c r="D29" s="116"/>
      <c r="E29" s="116"/>
      <c r="F29" s="116"/>
      <c r="G29" s="116"/>
      <c r="H29" s="116"/>
      <c r="I29" s="116"/>
      <c r="J29" s="116"/>
      <c r="K29" s="116"/>
      <c r="L29" s="116"/>
      <c r="M29" s="116"/>
      <c r="N29" s="116"/>
      <c r="O29" s="116"/>
    </row>
  </sheetData>
  <mergeCells count="4">
    <mergeCell ref="A2:O2"/>
    <mergeCell ref="C10:D10"/>
    <mergeCell ref="C28:O28"/>
    <mergeCell ref="C29:O29"/>
  </mergeCells>
  <phoneticPr fontId="3" type="noConversion"/>
  <printOptions horizontalCentered="1"/>
  <pageMargins left="0.70866141732283472" right="0.70866141732283472" top="0.74803149606299213" bottom="0.74803149606299213" header="0.31496062992125984" footer="0.31496062992125984"/>
  <pageSetup paperSize="9" scale="70" fitToHeight="0" orientation="landscape" r:id="rId1"/>
  <headerFooter>
    <oddFooter>&amp;L_x000D_&amp;1#&amp;"Calibri"&amp;9&amp;K000000 Confidential | AVIKUS – Unauthorized distribution is strictly prohibited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408C-DC25-49F6-AA31-B221275559D3}">
  <sheetPr>
    <pageSetUpPr fitToPage="1"/>
  </sheetPr>
  <dimension ref="B1:Y94"/>
  <sheetViews>
    <sheetView showGridLines="0" zoomScaleNormal="100" workbookViewId="0">
      <selection activeCell="J20" sqref="J20"/>
    </sheetView>
  </sheetViews>
  <sheetFormatPr defaultRowHeight="17" x14ac:dyDescent="0.45"/>
  <cols>
    <col min="1" max="1" width="1.6640625" style="2" customWidth="1"/>
    <col min="2" max="2" width="12.4140625" style="49" customWidth="1"/>
    <col min="3" max="4" width="21.5" style="48" customWidth="1"/>
    <col min="5" max="5" width="29.08203125" style="49" customWidth="1"/>
    <col min="6" max="6" width="12.1640625" style="49" customWidth="1"/>
    <col min="7" max="8" width="8.6640625" style="49"/>
    <col min="9" max="9" width="7.1640625" style="49" customWidth="1"/>
    <col min="10" max="10" width="8.6640625" style="49"/>
    <col min="11" max="11" width="12.9140625" style="48" customWidth="1"/>
    <col min="12" max="12" width="13.9140625" style="49" customWidth="1"/>
    <col min="13" max="13" width="39.9140625" style="50" customWidth="1"/>
    <col min="14" max="14" width="28.5" style="50" customWidth="1"/>
    <col min="15" max="16" width="8.6640625" style="2"/>
    <col min="17" max="25" width="6.5" style="2" customWidth="1"/>
    <col min="26" max="16384" width="8.6640625" style="2"/>
  </cols>
  <sheetData>
    <row r="1" spans="2:25" ht="26" x14ac:dyDescent="0.45">
      <c r="B1" s="47" t="s">
        <v>122</v>
      </c>
    </row>
    <row r="2" spans="2:25" x14ac:dyDescent="0.45">
      <c r="Q2" s="51" t="s">
        <v>48</v>
      </c>
    </row>
    <row r="3" spans="2:25" ht="34" x14ac:dyDescent="0.45">
      <c r="B3" s="52" t="s">
        <v>48</v>
      </c>
      <c r="C3" s="52" t="s">
        <v>49</v>
      </c>
      <c r="D3" s="52" t="s">
        <v>123</v>
      </c>
      <c r="E3" s="52" t="s">
        <v>50</v>
      </c>
      <c r="F3" s="53" t="s">
        <v>51</v>
      </c>
      <c r="G3" s="53" t="s">
        <v>52</v>
      </c>
      <c r="H3" s="53" t="s">
        <v>53</v>
      </c>
      <c r="I3" s="53" t="s">
        <v>55</v>
      </c>
      <c r="J3" s="53" t="s">
        <v>56</v>
      </c>
      <c r="K3" s="53" t="s">
        <v>59</v>
      </c>
      <c r="L3" s="52" t="s">
        <v>61</v>
      </c>
      <c r="M3" s="53" t="s">
        <v>124</v>
      </c>
      <c r="N3" s="53" t="s">
        <v>125</v>
      </c>
      <c r="Q3" s="4"/>
      <c r="R3" s="4"/>
      <c r="S3" s="4"/>
      <c r="T3" s="4"/>
      <c r="U3" s="4"/>
      <c r="V3" s="4"/>
      <c r="W3" s="5" t="s">
        <v>126</v>
      </c>
      <c r="X3" s="4"/>
      <c r="Y3" s="4"/>
    </row>
    <row r="4" spans="2:25" x14ac:dyDescent="0.45">
      <c r="B4" s="54" t="s">
        <v>63</v>
      </c>
      <c r="C4" s="54" t="s">
        <v>127</v>
      </c>
      <c r="D4" s="54" t="s">
        <v>128</v>
      </c>
      <c r="E4" s="55" t="s">
        <v>129</v>
      </c>
      <c r="F4" s="54" t="s">
        <v>130</v>
      </c>
      <c r="G4" s="54" t="s">
        <v>131</v>
      </c>
      <c r="H4" s="54" t="s">
        <v>132</v>
      </c>
      <c r="I4" s="54" t="s">
        <v>133</v>
      </c>
      <c r="J4" s="56">
        <f>2520000+300000+200000</f>
        <v>3020000</v>
      </c>
      <c r="K4" s="57" t="s">
        <v>134</v>
      </c>
      <c r="L4" s="58" t="s">
        <v>135</v>
      </c>
      <c r="M4" s="59" t="s">
        <v>136</v>
      </c>
      <c r="N4" s="59" t="s">
        <v>137</v>
      </c>
      <c r="Q4" s="60" t="s">
        <v>138</v>
      </c>
      <c r="R4" s="60" t="s">
        <v>139</v>
      </c>
      <c r="S4" s="119" t="s">
        <v>140</v>
      </c>
      <c r="T4" s="120"/>
      <c r="U4" s="120"/>
      <c r="V4" s="121"/>
      <c r="X4" s="122" t="s">
        <v>141</v>
      </c>
      <c r="Y4" s="123"/>
    </row>
    <row r="5" spans="2:25" x14ac:dyDescent="0.45">
      <c r="B5" s="54" t="s">
        <v>142</v>
      </c>
      <c r="C5" s="54" t="s">
        <v>127</v>
      </c>
      <c r="D5" s="54" t="s">
        <v>143</v>
      </c>
      <c r="E5" s="59" t="s">
        <v>144</v>
      </c>
      <c r="F5" s="54" t="s">
        <v>130</v>
      </c>
      <c r="G5" s="54" t="s">
        <v>131</v>
      </c>
      <c r="H5" s="54" t="s">
        <v>132</v>
      </c>
      <c r="I5" s="54" t="s">
        <v>133</v>
      </c>
      <c r="J5" s="56">
        <f>5860000+530000+150000</f>
        <v>6540000</v>
      </c>
      <c r="K5" s="57" t="s">
        <v>134</v>
      </c>
      <c r="L5" s="58" t="s">
        <v>135</v>
      </c>
      <c r="M5" s="59" t="s">
        <v>136</v>
      </c>
      <c r="N5" s="59" t="s">
        <v>145</v>
      </c>
    </row>
    <row r="6" spans="2:25" x14ac:dyDescent="0.45">
      <c r="B6" s="54" t="s">
        <v>85</v>
      </c>
      <c r="C6" s="54" t="s">
        <v>127</v>
      </c>
      <c r="D6" s="54" t="s">
        <v>146</v>
      </c>
      <c r="E6" s="55" t="s">
        <v>147</v>
      </c>
      <c r="F6" s="54" t="s">
        <v>130</v>
      </c>
      <c r="G6" s="54" t="s">
        <v>131</v>
      </c>
      <c r="H6" s="54" t="s">
        <v>132</v>
      </c>
      <c r="I6" s="54" t="s">
        <v>133</v>
      </c>
      <c r="J6" s="56">
        <f>3950000+530000</f>
        <v>4480000</v>
      </c>
      <c r="K6" s="57" t="s">
        <v>134</v>
      </c>
      <c r="L6" s="58" t="s">
        <v>135</v>
      </c>
      <c r="M6" s="59" t="s">
        <v>136</v>
      </c>
      <c r="N6" s="59" t="s">
        <v>148</v>
      </c>
      <c r="Q6" s="61" t="s">
        <v>149</v>
      </c>
      <c r="R6" s="61"/>
      <c r="S6" s="61"/>
    </row>
    <row r="7" spans="2:25" x14ac:dyDescent="0.45">
      <c r="B7" s="54" t="s">
        <v>150</v>
      </c>
      <c r="C7" s="54" t="s">
        <v>127</v>
      </c>
      <c r="D7" s="54" t="s">
        <v>151</v>
      </c>
      <c r="E7" s="59" t="s">
        <v>152</v>
      </c>
      <c r="F7" s="54" t="s">
        <v>130</v>
      </c>
      <c r="G7" s="54" t="s">
        <v>131</v>
      </c>
      <c r="H7" s="54" t="s">
        <v>132</v>
      </c>
      <c r="I7" s="54" t="s">
        <v>133</v>
      </c>
      <c r="J7" s="56">
        <f>5260000+550000</f>
        <v>5810000</v>
      </c>
      <c r="K7" s="57" t="s">
        <v>134</v>
      </c>
      <c r="L7" s="58" t="s">
        <v>135</v>
      </c>
      <c r="M7" s="59" t="s">
        <v>136</v>
      </c>
      <c r="N7" s="59" t="s">
        <v>153</v>
      </c>
      <c r="Q7" s="62" t="s">
        <v>154</v>
      </c>
      <c r="R7" s="61" t="s">
        <v>155</v>
      </c>
      <c r="S7" s="61"/>
    </row>
    <row r="8" spans="2:25" x14ac:dyDescent="0.45">
      <c r="B8" s="54" t="s">
        <v>117</v>
      </c>
      <c r="C8" s="54" t="s">
        <v>156</v>
      </c>
      <c r="D8" s="54" t="s">
        <v>157</v>
      </c>
      <c r="E8" s="59" t="s">
        <v>158</v>
      </c>
      <c r="F8" s="54" t="s">
        <v>130</v>
      </c>
      <c r="G8" s="54" t="s">
        <v>131</v>
      </c>
      <c r="H8" s="54" t="s">
        <v>132</v>
      </c>
      <c r="I8" s="54" t="s">
        <v>133</v>
      </c>
      <c r="J8" s="56">
        <v>650000</v>
      </c>
      <c r="K8" s="57" t="s">
        <v>159</v>
      </c>
      <c r="L8" s="58" t="s">
        <v>135</v>
      </c>
      <c r="M8" s="59" t="s">
        <v>160</v>
      </c>
      <c r="N8" s="59" t="s">
        <v>161</v>
      </c>
      <c r="Q8" s="62" t="s">
        <v>162</v>
      </c>
      <c r="R8" s="61" t="s">
        <v>163</v>
      </c>
      <c r="S8" s="61"/>
    </row>
    <row r="9" spans="2:25" x14ac:dyDescent="0.45">
      <c r="B9" s="54" t="s">
        <v>164</v>
      </c>
      <c r="C9" s="54" t="s">
        <v>165</v>
      </c>
      <c r="D9" s="54" t="s">
        <v>166</v>
      </c>
      <c r="E9" s="55" t="s">
        <v>167</v>
      </c>
      <c r="F9" s="54" t="s">
        <v>130</v>
      </c>
      <c r="G9" s="54" t="s">
        <v>131</v>
      </c>
      <c r="H9" s="54" t="s">
        <v>132</v>
      </c>
      <c r="I9" s="54" t="s">
        <v>133</v>
      </c>
      <c r="J9" s="63">
        <v>530000</v>
      </c>
      <c r="K9" s="57" t="s">
        <v>134</v>
      </c>
      <c r="L9" s="58" t="s">
        <v>135</v>
      </c>
      <c r="M9" s="59" t="s">
        <v>168</v>
      </c>
      <c r="N9" s="59" t="s">
        <v>169</v>
      </c>
      <c r="Q9" s="62" t="s">
        <v>170</v>
      </c>
      <c r="R9" s="61" t="s">
        <v>171</v>
      </c>
      <c r="S9" s="61"/>
    </row>
    <row r="10" spans="2:25" x14ac:dyDescent="0.45">
      <c r="B10" s="54" t="s">
        <v>172</v>
      </c>
      <c r="C10" s="54" t="s">
        <v>165</v>
      </c>
      <c r="D10" s="54" t="s">
        <v>173</v>
      </c>
      <c r="E10" s="55" t="s">
        <v>174</v>
      </c>
      <c r="F10" s="54" t="s">
        <v>130</v>
      </c>
      <c r="G10" s="54" t="s">
        <v>131</v>
      </c>
      <c r="H10" s="54" t="s">
        <v>132</v>
      </c>
      <c r="I10" s="54" t="s">
        <v>133</v>
      </c>
      <c r="J10" s="63">
        <v>530000</v>
      </c>
      <c r="K10" s="57" t="s">
        <v>134</v>
      </c>
      <c r="L10" s="58" t="s">
        <v>135</v>
      </c>
      <c r="M10" s="59" t="s">
        <v>175</v>
      </c>
      <c r="N10" s="59" t="s">
        <v>169</v>
      </c>
      <c r="Q10" s="61"/>
      <c r="R10" s="61"/>
      <c r="S10" s="61"/>
    </row>
    <row r="11" spans="2:25" x14ac:dyDescent="0.45">
      <c r="B11" s="54" t="s">
        <v>176</v>
      </c>
      <c r="C11" s="54" t="s">
        <v>127</v>
      </c>
      <c r="D11" s="54" t="s">
        <v>177</v>
      </c>
      <c r="E11" s="59" t="s">
        <v>178</v>
      </c>
      <c r="F11" s="54" t="s">
        <v>130</v>
      </c>
      <c r="G11" s="54" t="s">
        <v>131</v>
      </c>
      <c r="H11" s="54" t="s">
        <v>132</v>
      </c>
      <c r="I11" s="54" t="s">
        <v>133</v>
      </c>
      <c r="J11" s="56">
        <v>895000</v>
      </c>
      <c r="K11" s="57" t="s">
        <v>179</v>
      </c>
      <c r="L11" s="57" t="s">
        <v>135</v>
      </c>
      <c r="M11" s="64" t="s">
        <v>130</v>
      </c>
      <c r="N11" s="65" t="s">
        <v>130</v>
      </c>
      <c r="Q11" s="66" t="s">
        <v>180</v>
      </c>
      <c r="R11" s="61"/>
      <c r="S11" s="61"/>
    </row>
    <row r="12" spans="2:25" x14ac:dyDescent="0.45">
      <c r="B12" s="54" t="s">
        <v>181</v>
      </c>
      <c r="C12" s="54" t="s">
        <v>127</v>
      </c>
      <c r="D12" s="54" t="s">
        <v>182</v>
      </c>
      <c r="E12" s="59" t="s">
        <v>152</v>
      </c>
      <c r="F12" s="54" t="s">
        <v>130</v>
      </c>
      <c r="G12" s="54" t="s">
        <v>131</v>
      </c>
      <c r="H12" s="54" t="s">
        <v>132</v>
      </c>
      <c r="I12" s="54" t="s">
        <v>133</v>
      </c>
      <c r="J12" s="56">
        <v>5216000</v>
      </c>
      <c r="K12" s="57" t="s">
        <v>183</v>
      </c>
      <c r="L12" s="57" t="s">
        <v>184</v>
      </c>
      <c r="M12" s="64" t="s">
        <v>130</v>
      </c>
      <c r="N12" s="65" t="s">
        <v>130</v>
      </c>
      <c r="Q12" s="61" t="s">
        <v>185</v>
      </c>
      <c r="R12" s="61"/>
      <c r="S12" s="61"/>
      <c r="T12" s="2" t="s">
        <v>186</v>
      </c>
    </row>
    <row r="13" spans="2:25" x14ac:dyDescent="0.45">
      <c r="B13" s="67"/>
      <c r="C13" s="67"/>
      <c r="D13" s="67"/>
      <c r="E13" s="68"/>
      <c r="F13" s="67" t="s">
        <v>130</v>
      </c>
      <c r="G13" s="67"/>
      <c r="H13" s="67"/>
      <c r="I13" s="67"/>
      <c r="J13" s="69"/>
      <c r="K13" s="70"/>
      <c r="L13" s="70"/>
      <c r="M13" s="71"/>
      <c r="N13" s="71"/>
      <c r="Q13" s="2" t="s">
        <v>187</v>
      </c>
      <c r="R13" s="61"/>
      <c r="S13" s="61"/>
      <c r="T13" s="61" t="s">
        <v>188</v>
      </c>
    </row>
    <row r="14" spans="2:25" x14ac:dyDescent="0.45">
      <c r="B14" s="54" t="s">
        <v>189</v>
      </c>
      <c r="C14" s="54" t="s">
        <v>190</v>
      </c>
      <c r="D14" s="54" t="s">
        <v>191</v>
      </c>
      <c r="E14" s="59" t="s">
        <v>192</v>
      </c>
      <c r="F14" s="54" t="s">
        <v>130</v>
      </c>
      <c r="G14" s="54" t="s">
        <v>193</v>
      </c>
      <c r="H14" s="54" t="s">
        <v>132</v>
      </c>
      <c r="I14" s="54" t="s">
        <v>133</v>
      </c>
      <c r="J14" s="56">
        <v>3320000</v>
      </c>
      <c r="K14" s="58" t="s">
        <v>194</v>
      </c>
      <c r="L14" s="58" t="s">
        <v>135</v>
      </c>
      <c r="M14" s="65" t="s">
        <v>130</v>
      </c>
      <c r="N14" s="65" t="s">
        <v>195</v>
      </c>
      <c r="Q14" s="2" t="s">
        <v>196</v>
      </c>
      <c r="R14" s="61"/>
      <c r="S14" s="61"/>
      <c r="T14" s="61" t="s">
        <v>197</v>
      </c>
    </row>
    <row r="15" spans="2:25" x14ac:dyDescent="0.45">
      <c r="B15" s="54" t="s">
        <v>86</v>
      </c>
      <c r="C15" s="54" t="s">
        <v>198</v>
      </c>
      <c r="D15" s="54" t="s">
        <v>199</v>
      </c>
      <c r="E15" s="55" t="s">
        <v>200</v>
      </c>
      <c r="F15" s="54" t="s">
        <v>130</v>
      </c>
      <c r="G15" s="54" t="s">
        <v>193</v>
      </c>
      <c r="H15" s="54" t="s">
        <v>132</v>
      </c>
      <c r="I15" s="54" t="s">
        <v>133</v>
      </c>
      <c r="J15" s="56">
        <v>1820000</v>
      </c>
      <c r="K15" s="58" t="s">
        <v>194</v>
      </c>
      <c r="L15" s="58" t="s">
        <v>135</v>
      </c>
      <c r="M15" s="65" t="s">
        <v>130</v>
      </c>
      <c r="N15" s="65" t="s">
        <v>201</v>
      </c>
      <c r="Q15" s="61" t="s">
        <v>202</v>
      </c>
      <c r="R15" s="61"/>
      <c r="S15" s="61"/>
    </row>
    <row r="16" spans="2:25" x14ac:dyDescent="0.45">
      <c r="B16" s="54" t="s">
        <v>71</v>
      </c>
      <c r="C16" s="54" t="s">
        <v>203</v>
      </c>
      <c r="D16" s="54" t="s">
        <v>204</v>
      </c>
      <c r="E16" s="59" t="s">
        <v>205</v>
      </c>
      <c r="F16" s="54" t="s">
        <v>130</v>
      </c>
      <c r="G16" s="54" t="s">
        <v>206</v>
      </c>
      <c r="H16" s="54" t="s">
        <v>132</v>
      </c>
      <c r="I16" s="54" t="s">
        <v>207</v>
      </c>
      <c r="J16" s="72">
        <v>4508312</v>
      </c>
      <c r="K16" s="58" t="s">
        <v>208</v>
      </c>
      <c r="L16" s="58" t="s">
        <v>135</v>
      </c>
      <c r="M16" s="65" t="s">
        <v>130</v>
      </c>
      <c r="N16" s="65" t="s">
        <v>209</v>
      </c>
    </row>
    <row r="17" spans="2:19" x14ac:dyDescent="0.45">
      <c r="B17" s="54" t="s">
        <v>210</v>
      </c>
      <c r="C17" s="54" t="s">
        <v>203</v>
      </c>
      <c r="D17" s="54" t="s">
        <v>211</v>
      </c>
      <c r="E17" s="59" t="s">
        <v>205</v>
      </c>
      <c r="F17" s="54" t="s">
        <v>130</v>
      </c>
      <c r="G17" s="54" t="s">
        <v>206</v>
      </c>
      <c r="H17" s="54" t="s">
        <v>132</v>
      </c>
      <c r="I17" s="54" t="s">
        <v>207</v>
      </c>
      <c r="J17" s="56">
        <v>468700</v>
      </c>
      <c r="K17" s="57" t="s">
        <v>208</v>
      </c>
      <c r="L17" s="57" t="s">
        <v>135</v>
      </c>
      <c r="M17" s="64" t="s">
        <v>130</v>
      </c>
      <c r="N17" s="59" t="s">
        <v>212</v>
      </c>
      <c r="Q17" s="73" t="s">
        <v>213</v>
      </c>
      <c r="R17" s="61"/>
      <c r="S17" s="61"/>
    </row>
    <row r="18" spans="2:19" x14ac:dyDescent="0.45">
      <c r="B18" s="67"/>
      <c r="C18" s="67"/>
      <c r="D18" s="67"/>
      <c r="E18" s="68"/>
      <c r="F18" s="67" t="s">
        <v>130</v>
      </c>
      <c r="G18" s="67"/>
      <c r="H18" s="67"/>
      <c r="I18" s="67"/>
      <c r="J18" s="69"/>
      <c r="K18" s="70"/>
      <c r="L18" s="70"/>
      <c r="M18" s="71"/>
      <c r="N18" s="71"/>
    </row>
    <row r="19" spans="2:19" x14ac:dyDescent="0.45">
      <c r="B19" s="54" t="s">
        <v>214</v>
      </c>
      <c r="C19" s="54" t="s">
        <v>215</v>
      </c>
      <c r="D19" s="54" t="s">
        <v>216</v>
      </c>
      <c r="E19" s="59" t="s">
        <v>217</v>
      </c>
      <c r="F19" s="54" t="s">
        <v>130</v>
      </c>
      <c r="G19" s="54" t="s">
        <v>206</v>
      </c>
      <c r="H19" s="54" t="s">
        <v>132</v>
      </c>
      <c r="I19" s="54" t="s">
        <v>207</v>
      </c>
      <c r="J19" s="74">
        <v>470000</v>
      </c>
      <c r="K19" s="57" t="s">
        <v>208</v>
      </c>
      <c r="L19" s="57" t="s">
        <v>135</v>
      </c>
      <c r="M19" s="64" t="s">
        <v>218</v>
      </c>
      <c r="N19" s="59" t="s">
        <v>219</v>
      </c>
      <c r="Q19" s="2" t="s">
        <v>220</v>
      </c>
    </row>
    <row r="20" spans="2:19" x14ac:dyDescent="0.45">
      <c r="B20" s="54" t="s">
        <v>221</v>
      </c>
      <c r="C20" s="75" t="s">
        <v>222</v>
      </c>
      <c r="D20" s="54" t="s">
        <v>223</v>
      </c>
      <c r="E20" s="76" t="s">
        <v>224</v>
      </c>
      <c r="F20" s="54" t="s">
        <v>130</v>
      </c>
      <c r="G20" s="54" t="s">
        <v>225</v>
      </c>
      <c r="H20" s="54" t="s">
        <v>132</v>
      </c>
      <c r="I20" s="54" t="s">
        <v>207</v>
      </c>
      <c r="J20" s="74">
        <f>2206523+281000</f>
        <v>2487523</v>
      </c>
      <c r="K20" s="57" t="s">
        <v>226</v>
      </c>
      <c r="L20" s="57" t="s">
        <v>135</v>
      </c>
      <c r="M20" s="59" t="s">
        <v>227</v>
      </c>
      <c r="N20" s="59" t="s">
        <v>228</v>
      </c>
    </row>
    <row r="21" spans="2:19" x14ac:dyDescent="0.45">
      <c r="B21" s="54" t="s">
        <v>69</v>
      </c>
      <c r="C21" s="77" t="s">
        <v>229</v>
      </c>
      <c r="D21" s="54" t="s">
        <v>230</v>
      </c>
      <c r="E21" s="76" t="s">
        <v>231</v>
      </c>
      <c r="F21" s="54" t="s">
        <v>130</v>
      </c>
      <c r="G21" s="54" t="s">
        <v>193</v>
      </c>
      <c r="H21" s="54" t="s">
        <v>132</v>
      </c>
      <c r="I21" s="54" t="s">
        <v>207</v>
      </c>
      <c r="J21" s="74">
        <f>1473.1*150</f>
        <v>220965</v>
      </c>
      <c r="K21" s="58" t="s">
        <v>232</v>
      </c>
      <c r="L21" s="57" t="s">
        <v>135</v>
      </c>
      <c r="M21" s="65" t="s">
        <v>233</v>
      </c>
      <c r="N21" s="65" t="s">
        <v>130</v>
      </c>
    </row>
    <row r="22" spans="2:19" x14ac:dyDescent="0.45">
      <c r="B22" s="54" t="s">
        <v>66</v>
      </c>
      <c r="C22" s="78" t="s">
        <v>234</v>
      </c>
      <c r="D22" s="79" t="s">
        <v>235</v>
      </c>
      <c r="E22" s="76" t="s">
        <v>236</v>
      </c>
      <c r="F22" s="54" t="s">
        <v>130</v>
      </c>
      <c r="G22" s="54" t="s">
        <v>131</v>
      </c>
      <c r="H22" s="54" t="s">
        <v>132</v>
      </c>
      <c r="I22" s="54" t="s">
        <v>133</v>
      </c>
      <c r="J22" s="74">
        <v>4300000</v>
      </c>
      <c r="K22" s="57" t="s">
        <v>237</v>
      </c>
      <c r="L22" s="57" t="s">
        <v>135</v>
      </c>
      <c r="M22" s="65" t="s">
        <v>130</v>
      </c>
      <c r="N22" s="59" t="s">
        <v>238</v>
      </c>
    </row>
    <row r="23" spans="2:19" x14ac:dyDescent="0.45">
      <c r="B23" s="54" t="s">
        <v>70</v>
      </c>
      <c r="C23" s="80" t="s">
        <v>239</v>
      </c>
      <c r="D23" s="79" t="s">
        <v>240</v>
      </c>
      <c r="E23" s="76" t="s">
        <v>241</v>
      </c>
      <c r="F23" s="54" t="s">
        <v>130</v>
      </c>
      <c r="G23" s="54" t="s">
        <v>131</v>
      </c>
      <c r="H23" s="54" t="s">
        <v>132</v>
      </c>
      <c r="I23" s="54" t="s">
        <v>133</v>
      </c>
      <c r="J23" s="74">
        <v>1000000</v>
      </c>
      <c r="K23" s="57" t="s">
        <v>237</v>
      </c>
      <c r="L23" s="57" t="s">
        <v>135</v>
      </c>
      <c r="M23" s="65" t="s">
        <v>130</v>
      </c>
      <c r="N23" s="59" t="s">
        <v>238</v>
      </c>
    </row>
    <row r="24" spans="2:19" x14ac:dyDescent="0.45">
      <c r="B24" s="54" t="s">
        <v>242</v>
      </c>
      <c r="C24" s="54" t="s">
        <v>243</v>
      </c>
      <c r="D24" s="54" t="s">
        <v>244</v>
      </c>
      <c r="E24" s="55" t="s">
        <v>245</v>
      </c>
      <c r="F24" s="54" t="s">
        <v>130</v>
      </c>
      <c r="G24" s="54" t="s">
        <v>131</v>
      </c>
      <c r="H24" s="54" t="s">
        <v>132</v>
      </c>
      <c r="I24" s="54" t="s">
        <v>133</v>
      </c>
      <c r="J24" s="56">
        <v>1500000</v>
      </c>
      <c r="K24" s="57" t="s">
        <v>179</v>
      </c>
      <c r="L24" s="57" t="s">
        <v>135</v>
      </c>
      <c r="M24" s="65" t="s">
        <v>130</v>
      </c>
      <c r="N24" s="59" t="s">
        <v>246</v>
      </c>
    </row>
    <row r="25" spans="2:19" x14ac:dyDescent="0.45">
      <c r="B25" s="54" t="s">
        <v>247</v>
      </c>
      <c r="C25" s="54" t="s">
        <v>248</v>
      </c>
      <c r="D25" s="54" t="s">
        <v>249</v>
      </c>
      <c r="E25" s="55" t="s">
        <v>250</v>
      </c>
      <c r="F25" s="54" t="s">
        <v>130</v>
      </c>
      <c r="G25" s="54" t="s">
        <v>131</v>
      </c>
      <c r="H25" s="54" t="s">
        <v>132</v>
      </c>
      <c r="I25" s="54" t="s">
        <v>133</v>
      </c>
      <c r="J25" s="56">
        <v>2500000</v>
      </c>
      <c r="K25" s="57" t="s">
        <v>179</v>
      </c>
      <c r="L25" s="81" t="s">
        <v>135</v>
      </c>
      <c r="M25" s="65" t="s">
        <v>130</v>
      </c>
      <c r="N25" s="59" t="s">
        <v>251</v>
      </c>
    </row>
    <row r="26" spans="2:19" x14ac:dyDescent="0.45">
      <c r="B26" s="54" t="s">
        <v>252</v>
      </c>
      <c r="C26" s="54" t="s">
        <v>253</v>
      </c>
      <c r="D26" s="54" t="s">
        <v>254</v>
      </c>
      <c r="E26" s="55" t="s">
        <v>255</v>
      </c>
      <c r="F26" s="54" t="s">
        <v>130</v>
      </c>
      <c r="G26" s="54" t="s">
        <v>131</v>
      </c>
      <c r="H26" s="54" t="s">
        <v>132</v>
      </c>
      <c r="I26" s="54" t="s">
        <v>133</v>
      </c>
      <c r="J26" s="56">
        <v>2500000</v>
      </c>
      <c r="K26" s="57" t="s">
        <v>237</v>
      </c>
      <c r="L26" s="57" t="s">
        <v>135</v>
      </c>
      <c r="M26" s="65" t="s">
        <v>130</v>
      </c>
      <c r="N26" s="65" t="s">
        <v>130</v>
      </c>
    </row>
    <row r="27" spans="2:19" x14ac:dyDescent="0.45">
      <c r="B27" s="54" t="s">
        <v>256</v>
      </c>
      <c r="C27" s="54" t="s">
        <v>257</v>
      </c>
      <c r="D27" s="54" t="s">
        <v>258</v>
      </c>
      <c r="E27" s="55" t="s">
        <v>259</v>
      </c>
      <c r="F27" s="54" t="s">
        <v>130</v>
      </c>
      <c r="G27" s="54" t="s">
        <v>131</v>
      </c>
      <c r="H27" s="54" t="s">
        <v>132</v>
      </c>
      <c r="I27" s="54" t="s">
        <v>133</v>
      </c>
      <c r="J27" s="56">
        <v>3500000</v>
      </c>
      <c r="K27" s="57" t="s">
        <v>237</v>
      </c>
      <c r="L27" s="57" t="s">
        <v>135</v>
      </c>
      <c r="M27" s="64" t="s">
        <v>260</v>
      </c>
      <c r="N27" s="64" t="s">
        <v>260</v>
      </c>
    </row>
    <row r="28" spans="2:19" x14ac:dyDescent="0.45">
      <c r="B28" s="54" t="s">
        <v>67</v>
      </c>
      <c r="C28" s="54" t="s">
        <v>261</v>
      </c>
      <c r="D28" s="54" t="s">
        <v>262</v>
      </c>
      <c r="E28" s="59" t="s">
        <v>263</v>
      </c>
      <c r="F28" s="54" t="s">
        <v>130</v>
      </c>
      <c r="G28" s="54" t="s">
        <v>206</v>
      </c>
      <c r="H28" s="54" t="s">
        <v>132</v>
      </c>
      <c r="I28" s="54" t="s">
        <v>207</v>
      </c>
      <c r="J28" s="74">
        <f>356*1496</f>
        <v>532576</v>
      </c>
      <c r="K28" s="57" t="s">
        <v>208</v>
      </c>
      <c r="L28" s="57" t="s">
        <v>135</v>
      </c>
      <c r="M28" s="65" t="s">
        <v>218</v>
      </c>
      <c r="N28" s="59" t="s">
        <v>264</v>
      </c>
    </row>
    <row r="29" spans="2:19" x14ac:dyDescent="0.45">
      <c r="B29" s="54" t="s">
        <v>265</v>
      </c>
      <c r="C29" s="54" t="s">
        <v>266</v>
      </c>
      <c r="D29" s="54" t="s">
        <v>267</v>
      </c>
      <c r="E29" s="59" t="s">
        <v>268</v>
      </c>
      <c r="F29" s="54" t="s">
        <v>130</v>
      </c>
      <c r="G29" s="54" t="s">
        <v>131</v>
      </c>
      <c r="H29" s="54" t="s">
        <v>132</v>
      </c>
      <c r="I29" s="54" t="s">
        <v>133</v>
      </c>
      <c r="J29" s="56">
        <v>150000</v>
      </c>
      <c r="K29" s="57" t="s">
        <v>237</v>
      </c>
      <c r="L29" s="57" t="s">
        <v>135</v>
      </c>
      <c r="M29" s="65" t="s">
        <v>130</v>
      </c>
      <c r="N29" s="65" t="s">
        <v>130</v>
      </c>
    </row>
    <row r="30" spans="2:19" x14ac:dyDescent="0.45">
      <c r="B30" s="54" t="s">
        <v>269</v>
      </c>
      <c r="C30" s="54" t="s">
        <v>215</v>
      </c>
      <c r="D30" s="54" t="s">
        <v>270</v>
      </c>
      <c r="E30" s="59" t="s">
        <v>271</v>
      </c>
      <c r="F30" s="54" t="s">
        <v>130</v>
      </c>
      <c r="G30" s="54" t="s">
        <v>206</v>
      </c>
      <c r="H30" s="54" t="s">
        <v>132</v>
      </c>
      <c r="I30" s="54" t="s">
        <v>207</v>
      </c>
      <c r="J30" s="56">
        <v>298960</v>
      </c>
      <c r="K30" s="58" t="s">
        <v>208</v>
      </c>
      <c r="L30" s="58" t="s">
        <v>135</v>
      </c>
      <c r="M30" s="65" t="s">
        <v>130</v>
      </c>
      <c r="N30" s="59" t="s">
        <v>272</v>
      </c>
    </row>
    <row r="31" spans="2:19" x14ac:dyDescent="0.45">
      <c r="B31" s="54" t="s">
        <v>273</v>
      </c>
      <c r="C31" s="54" t="s">
        <v>257</v>
      </c>
      <c r="D31" s="54" t="s">
        <v>274</v>
      </c>
      <c r="E31" s="59" t="s">
        <v>275</v>
      </c>
      <c r="F31" s="54" t="s">
        <v>130</v>
      </c>
      <c r="G31" s="54" t="s">
        <v>131</v>
      </c>
      <c r="H31" s="54" t="s">
        <v>132</v>
      </c>
      <c r="I31" s="54" t="s">
        <v>207</v>
      </c>
      <c r="J31" s="56">
        <v>900000</v>
      </c>
      <c r="K31" s="82" t="s">
        <v>237</v>
      </c>
      <c r="L31" s="58" t="s">
        <v>135</v>
      </c>
      <c r="M31" s="65" t="s">
        <v>130</v>
      </c>
      <c r="N31" s="65" t="s">
        <v>276</v>
      </c>
    </row>
    <row r="32" spans="2:19" x14ac:dyDescent="0.45">
      <c r="B32" s="54" t="s">
        <v>277</v>
      </c>
      <c r="C32" s="54" t="s">
        <v>243</v>
      </c>
      <c r="D32" s="54" t="s">
        <v>278</v>
      </c>
      <c r="E32" s="59" t="s">
        <v>279</v>
      </c>
      <c r="F32" s="54" t="s">
        <v>130</v>
      </c>
      <c r="G32" s="54" t="s">
        <v>131</v>
      </c>
      <c r="H32" s="54" t="s">
        <v>132</v>
      </c>
      <c r="I32" s="54" t="s">
        <v>207</v>
      </c>
      <c r="J32" s="56">
        <v>1400000</v>
      </c>
      <c r="K32" s="82" t="s">
        <v>237</v>
      </c>
      <c r="L32" s="58" t="s">
        <v>135</v>
      </c>
      <c r="M32" s="65" t="s">
        <v>130</v>
      </c>
      <c r="N32" s="65" t="s">
        <v>280</v>
      </c>
    </row>
    <row r="33" spans="2:14" x14ac:dyDescent="0.45">
      <c r="B33" s="54" t="s">
        <v>281</v>
      </c>
      <c r="C33" s="54" t="s">
        <v>257</v>
      </c>
      <c r="D33" s="54" t="s">
        <v>282</v>
      </c>
      <c r="E33" s="59" t="s">
        <v>275</v>
      </c>
      <c r="F33" s="54" t="s">
        <v>130</v>
      </c>
      <c r="G33" s="54" t="s">
        <v>131</v>
      </c>
      <c r="H33" s="54" t="s">
        <v>132</v>
      </c>
      <c r="I33" s="54" t="s">
        <v>207</v>
      </c>
      <c r="J33" s="56">
        <v>1000000</v>
      </c>
      <c r="K33" s="82" t="s">
        <v>237</v>
      </c>
      <c r="L33" s="58" t="s">
        <v>135</v>
      </c>
      <c r="M33" s="65" t="s">
        <v>130</v>
      </c>
      <c r="N33" s="65" t="s">
        <v>283</v>
      </c>
    </row>
    <row r="34" spans="2:14" x14ac:dyDescent="0.45">
      <c r="B34" s="54" t="s">
        <v>95</v>
      </c>
      <c r="C34" s="54" t="s">
        <v>284</v>
      </c>
      <c r="D34" s="54" t="s">
        <v>285</v>
      </c>
      <c r="E34" s="59" t="s">
        <v>286</v>
      </c>
      <c r="F34" s="54" t="s">
        <v>130</v>
      </c>
      <c r="G34" s="54" t="s">
        <v>131</v>
      </c>
      <c r="H34" s="54" t="s">
        <v>132</v>
      </c>
      <c r="I34" s="54" t="s">
        <v>207</v>
      </c>
      <c r="J34" s="56">
        <v>211840</v>
      </c>
      <c r="K34" s="58" t="s">
        <v>287</v>
      </c>
      <c r="L34" s="58" t="s">
        <v>135</v>
      </c>
      <c r="M34" s="65" t="s">
        <v>130</v>
      </c>
      <c r="N34" s="65" t="s">
        <v>130</v>
      </c>
    </row>
    <row r="35" spans="2:14" x14ac:dyDescent="0.45">
      <c r="B35" s="54" t="s">
        <v>288</v>
      </c>
      <c r="C35" s="54" t="s">
        <v>243</v>
      </c>
      <c r="D35" s="54" t="s">
        <v>289</v>
      </c>
      <c r="E35" s="59" t="s">
        <v>290</v>
      </c>
      <c r="F35" s="54" t="s">
        <v>130</v>
      </c>
      <c r="G35" s="54" t="s">
        <v>131</v>
      </c>
      <c r="H35" s="54" t="s">
        <v>132</v>
      </c>
      <c r="I35" s="54" t="s">
        <v>207</v>
      </c>
      <c r="J35" s="56">
        <v>800000</v>
      </c>
      <c r="K35" s="79" t="s">
        <v>291</v>
      </c>
      <c r="L35" s="58" t="s">
        <v>135</v>
      </c>
      <c r="M35" s="65" t="s">
        <v>130</v>
      </c>
      <c r="N35" s="83" t="s">
        <v>292</v>
      </c>
    </row>
    <row r="36" spans="2:14" x14ac:dyDescent="0.45">
      <c r="B36" s="84" t="s">
        <v>293</v>
      </c>
      <c r="C36" s="84" t="s">
        <v>261</v>
      </c>
      <c r="D36" s="84" t="s">
        <v>294</v>
      </c>
      <c r="E36" s="85" t="s">
        <v>263</v>
      </c>
      <c r="F36" s="84" t="s">
        <v>126</v>
      </c>
      <c r="G36" s="84" t="s">
        <v>295</v>
      </c>
      <c r="H36" s="84" t="s">
        <v>296</v>
      </c>
      <c r="I36" s="84" t="s">
        <v>207</v>
      </c>
      <c r="J36" s="86">
        <v>2079000</v>
      </c>
      <c r="K36" s="87" t="s">
        <v>179</v>
      </c>
      <c r="L36" s="88" t="s">
        <v>297</v>
      </c>
      <c r="M36" s="89" t="s">
        <v>298</v>
      </c>
      <c r="N36" s="90" t="s">
        <v>299</v>
      </c>
    </row>
    <row r="37" spans="2:14" x14ac:dyDescent="0.45">
      <c r="B37" s="54" t="s">
        <v>300</v>
      </c>
      <c r="C37" s="77" t="s">
        <v>229</v>
      </c>
      <c r="D37" s="54" t="s">
        <v>301</v>
      </c>
      <c r="E37" s="59" t="s">
        <v>231</v>
      </c>
      <c r="F37" s="54" t="s">
        <v>126</v>
      </c>
      <c r="G37" s="54" t="s">
        <v>193</v>
      </c>
      <c r="H37" s="54" t="s">
        <v>302</v>
      </c>
      <c r="I37" s="54" t="s">
        <v>207</v>
      </c>
      <c r="J37" s="74">
        <f>1473.1*190</f>
        <v>279889</v>
      </c>
      <c r="K37" s="80" t="s">
        <v>232</v>
      </c>
      <c r="L37" s="91" t="s">
        <v>297</v>
      </c>
      <c r="M37" s="92" t="s">
        <v>303</v>
      </c>
      <c r="N37" s="93" t="s">
        <v>126</v>
      </c>
    </row>
    <row r="38" spans="2:14" x14ac:dyDescent="0.45">
      <c r="B38" s="54" t="s">
        <v>94</v>
      </c>
      <c r="C38" s="78" t="s">
        <v>234</v>
      </c>
      <c r="D38" s="79" t="s">
        <v>304</v>
      </c>
      <c r="E38" s="76" t="s">
        <v>236</v>
      </c>
      <c r="F38" s="54" t="s">
        <v>126</v>
      </c>
      <c r="G38" s="54" t="s">
        <v>295</v>
      </c>
      <c r="H38" s="54" t="s">
        <v>302</v>
      </c>
      <c r="I38" s="54" t="s">
        <v>207</v>
      </c>
      <c r="J38" s="74">
        <v>4000000</v>
      </c>
      <c r="K38" s="79" t="s">
        <v>291</v>
      </c>
      <c r="L38" s="58" t="s">
        <v>135</v>
      </c>
      <c r="M38" s="65" t="s">
        <v>130</v>
      </c>
      <c r="N38" s="93" t="s">
        <v>305</v>
      </c>
    </row>
    <row r="39" spans="2:14" x14ac:dyDescent="0.45">
      <c r="B39" s="67"/>
      <c r="C39" s="67"/>
      <c r="D39" s="67"/>
      <c r="E39" s="68"/>
      <c r="F39" s="67" t="s">
        <v>130</v>
      </c>
      <c r="G39" s="67"/>
      <c r="H39" s="67"/>
      <c r="I39" s="67"/>
      <c r="J39" s="69"/>
      <c r="K39" s="70"/>
      <c r="L39" s="70"/>
      <c r="M39" s="94"/>
      <c r="N39" s="94"/>
    </row>
    <row r="40" spans="2:14" x14ac:dyDescent="0.45">
      <c r="B40" s="54" t="s">
        <v>306</v>
      </c>
      <c r="C40" s="54" t="s">
        <v>307</v>
      </c>
      <c r="D40" s="54" t="s">
        <v>308</v>
      </c>
      <c r="E40" s="59" t="s">
        <v>309</v>
      </c>
      <c r="F40" s="54" t="s">
        <v>130</v>
      </c>
      <c r="G40" s="54" t="s">
        <v>131</v>
      </c>
      <c r="H40" s="54" t="s">
        <v>132</v>
      </c>
      <c r="I40" s="54" t="s">
        <v>133</v>
      </c>
      <c r="J40" s="56">
        <v>100000</v>
      </c>
      <c r="K40" s="57" t="s">
        <v>237</v>
      </c>
      <c r="L40" s="57" t="s">
        <v>135</v>
      </c>
      <c r="M40" s="65" t="s">
        <v>130</v>
      </c>
      <c r="N40" s="65" t="s">
        <v>310</v>
      </c>
    </row>
    <row r="41" spans="2:14" x14ac:dyDescent="0.45">
      <c r="B41" s="54" t="s">
        <v>74</v>
      </c>
      <c r="C41" s="54" t="s">
        <v>311</v>
      </c>
      <c r="D41" s="54" t="s">
        <v>312</v>
      </c>
      <c r="E41" s="59" t="s">
        <v>313</v>
      </c>
      <c r="F41" s="54" t="s">
        <v>130</v>
      </c>
      <c r="G41" s="54" t="s">
        <v>131</v>
      </c>
      <c r="H41" s="54" t="s">
        <v>132</v>
      </c>
      <c r="I41" s="54" t="s">
        <v>133</v>
      </c>
      <c r="J41" s="56">
        <v>1596000</v>
      </c>
      <c r="K41" s="57" t="s">
        <v>314</v>
      </c>
      <c r="L41" s="57" t="s">
        <v>135</v>
      </c>
      <c r="M41" s="65" t="s">
        <v>130</v>
      </c>
      <c r="N41" s="64" t="s">
        <v>315</v>
      </c>
    </row>
    <row r="42" spans="2:14" x14ac:dyDescent="0.45">
      <c r="B42" s="54" t="s">
        <v>316</v>
      </c>
      <c r="C42" s="54" t="s">
        <v>317</v>
      </c>
      <c r="D42" s="54" t="s">
        <v>318</v>
      </c>
      <c r="E42" s="59" t="s">
        <v>319</v>
      </c>
      <c r="F42" s="54" t="s">
        <v>130</v>
      </c>
      <c r="G42" s="54" t="s">
        <v>131</v>
      </c>
      <c r="H42" s="54" t="s">
        <v>132</v>
      </c>
      <c r="I42" s="54" t="s">
        <v>133</v>
      </c>
      <c r="J42" s="56"/>
      <c r="K42" s="57" t="s">
        <v>237</v>
      </c>
      <c r="L42" s="57" t="s">
        <v>135</v>
      </c>
      <c r="M42" s="65" t="s">
        <v>130</v>
      </c>
      <c r="N42" s="65" t="s">
        <v>130</v>
      </c>
    </row>
    <row r="43" spans="2:14" x14ac:dyDescent="0.45">
      <c r="B43" s="54" t="s">
        <v>82</v>
      </c>
      <c r="C43" s="54" t="s">
        <v>317</v>
      </c>
      <c r="D43" s="54" t="s">
        <v>320</v>
      </c>
      <c r="E43" s="59" t="s">
        <v>321</v>
      </c>
      <c r="F43" s="54" t="s">
        <v>130</v>
      </c>
      <c r="G43" s="54" t="s">
        <v>131</v>
      </c>
      <c r="H43" s="54" t="s">
        <v>132</v>
      </c>
      <c r="I43" s="54" t="s">
        <v>133</v>
      </c>
      <c r="J43" s="56">
        <v>3800000</v>
      </c>
      <c r="K43" s="57" t="s">
        <v>237</v>
      </c>
      <c r="L43" s="57" t="s">
        <v>135</v>
      </c>
      <c r="M43" s="65" t="s">
        <v>130</v>
      </c>
      <c r="N43" s="65" t="s">
        <v>322</v>
      </c>
    </row>
    <row r="44" spans="2:14" x14ac:dyDescent="0.45">
      <c r="B44" s="54" t="s">
        <v>323</v>
      </c>
      <c r="C44" s="54" t="s">
        <v>324</v>
      </c>
      <c r="D44" s="54" t="s">
        <v>325</v>
      </c>
      <c r="E44" s="59" t="s">
        <v>326</v>
      </c>
      <c r="F44" s="54" t="s">
        <v>130</v>
      </c>
      <c r="G44" s="54" t="s">
        <v>131</v>
      </c>
      <c r="H44" s="54" t="s">
        <v>132</v>
      </c>
      <c r="I44" s="54" t="s">
        <v>133</v>
      </c>
      <c r="J44" s="56">
        <v>1000000</v>
      </c>
      <c r="K44" s="57" t="s">
        <v>237</v>
      </c>
      <c r="L44" s="57" t="s">
        <v>135</v>
      </c>
      <c r="M44" s="65" t="s">
        <v>130</v>
      </c>
      <c r="N44" s="64" t="s">
        <v>327</v>
      </c>
    </row>
    <row r="45" spans="2:14" x14ac:dyDescent="0.45">
      <c r="B45" s="54" t="s">
        <v>90</v>
      </c>
      <c r="C45" s="54" t="s">
        <v>324</v>
      </c>
      <c r="D45" s="54" t="s">
        <v>328</v>
      </c>
      <c r="E45" s="59" t="s">
        <v>326</v>
      </c>
      <c r="F45" s="54" t="s">
        <v>130</v>
      </c>
      <c r="G45" s="54" t="s">
        <v>131</v>
      </c>
      <c r="H45" s="54" t="s">
        <v>132</v>
      </c>
      <c r="I45" s="54" t="s">
        <v>133</v>
      </c>
      <c r="J45" s="56">
        <v>780000</v>
      </c>
      <c r="K45" s="57" t="s">
        <v>314</v>
      </c>
      <c r="L45" s="57" t="s">
        <v>135</v>
      </c>
      <c r="M45" s="65" t="s">
        <v>130</v>
      </c>
      <c r="N45" s="64" t="s">
        <v>329</v>
      </c>
    </row>
    <row r="46" spans="2:14" x14ac:dyDescent="0.45">
      <c r="B46" s="54" t="s">
        <v>112</v>
      </c>
      <c r="C46" s="54" t="s">
        <v>330</v>
      </c>
      <c r="D46" s="54" t="s">
        <v>331</v>
      </c>
      <c r="E46" s="59" t="s">
        <v>332</v>
      </c>
      <c r="F46" s="54" t="s">
        <v>130</v>
      </c>
      <c r="G46" s="54" t="s">
        <v>131</v>
      </c>
      <c r="H46" s="54" t="s">
        <v>132</v>
      </c>
      <c r="I46" s="54" t="s">
        <v>133</v>
      </c>
      <c r="J46" s="56">
        <v>392500</v>
      </c>
      <c r="K46" s="57" t="s">
        <v>333</v>
      </c>
      <c r="L46" s="57" t="s">
        <v>135</v>
      </c>
      <c r="M46" s="65" t="s">
        <v>334</v>
      </c>
      <c r="N46" s="64" t="s">
        <v>335</v>
      </c>
    </row>
    <row r="47" spans="2:14" x14ac:dyDescent="0.45">
      <c r="B47" s="54" t="s">
        <v>107</v>
      </c>
      <c r="C47" s="54" t="s">
        <v>336</v>
      </c>
      <c r="D47" s="54" t="s">
        <v>337</v>
      </c>
      <c r="E47" s="59" t="s">
        <v>338</v>
      </c>
      <c r="F47" s="54" t="s">
        <v>130</v>
      </c>
      <c r="G47" s="54" t="s">
        <v>131</v>
      </c>
      <c r="H47" s="54" t="s">
        <v>296</v>
      </c>
      <c r="I47" s="54" t="s">
        <v>133</v>
      </c>
      <c r="J47" s="56">
        <v>292000</v>
      </c>
      <c r="K47" s="57" t="s">
        <v>333</v>
      </c>
      <c r="L47" s="57" t="s">
        <v>135</v>
      </c>
      <c r="M47" s="65" t="s">
        <v>334</v>
      </c>
      <c r="N47" s="65" t="s">
        <v>339</v>
      </c>
    </row>
    <row r="48" spans="2:14" x14ac:dyDescent="0.45">
      <c r="B48" s="54" t="s">
        <v>340</v>
      </c>
      <c r="C48" s="54" t="s">
        <v>341</v>
      </c>
      <c r="D48" s="54" t="s">
        <v>342</v>
      </c>
      <c r="E48" s="59" t="s">
        <v>343</v>
      </c>
      <c r="F48" s="54" t="s">
        <v>130</v>
      </c>
      <c r="G48" s="54" t="s">
        <v>131</v>
      </c>
      <c r="H48" s="54" t="s">
        <v>132</v>
      </c>
      <c r="I48" s="54" t="s">
        <v>133</v>
      </c>
      <c r="J48" s="56">
        <v>144000</v>
      </c>
      <c r="K48" s="57" t="s">
        <v>333</v>
      </c>
      <c r="L48" s="57" t="s">
        <v>135</v>
      </c>
      <c r="M48" s="65" t="s">
        <v>130</v>
      </c>
      <c r="N48" s="65" t="s">
        <v>341</v>
      </c>
    </row>
    <row r="49" spans="2:14" x14ac:dyDescent="0.45">
      <c r="B49" s="54" t="s">
        <v>344</v>
      </c>
      <c r="C49" s="54" t="s">
        <v>345</v>
      </c>
      <c r="D49" s="54" t="s">
        <v>346</v>
      </c>
      <c r="E49" s="59" t="s">
        <v>347</v>
      </c>
      <c r="F49" s="54" t="s">
        <v>130</v>
      </c>
      <c r="G49" s="54" t="s">
        <v>131</v>
      </c>
      <c r="H49" s="54" t="s">
        <v>132</v>
      </c>
      <c r="I49" s="54" t="s">
        <v>133</v>
      </c>
      <c r="J49" s="56">
        <v>180000</v>
      </c>
      <c r="K49" s="57" t="s">
        <v>333</v>
      </c>
      <c r="L49" s="57" t="s">
        <v>135</v>
      </c>
      <c r="M49" s="65" t="s">
        <v>130</v>
      </c>
      <c r="N49" s="65" t="s">
        <v>345</v>
      </c>
    </row>
    <row r="50" spans="2:14" x14ac:dyDescent="0.45">
      <c r="B50" s="54" t="s">
        <v>92</v>
      </c>
      <c r="C50" s="54" t="s">
        <v>348</v>
      </c>
      <c r="D50" s="54" t="s">
        <v>349</v>
      </c>
      <c r="E50" s="59" t="s">
        <v>350</v>
      </c>
      <c r="F50" s="54" t="s">
        <v>130</v>
      </c>
      <c r="G50" s="54" t="s">
        <v>131</v>
      </c>
      <c r="H50" s="54" t="s">
        <v>132</v>
      </c>
      <c r="I50" s="54" t="s">
        <v>351</v>
      </c>
      <c r="J50" s="56">
        <v>1330</v>
      </c>
      <c r="K50" s="57" t="s">
        <v>352</v>
      </c>
      <c r="L50" s="57" t="s">
        <v>135</v>
      </c>
      <c r="M50" s="64" t="s">
        <v>353</v>
      </c>
      <c r="N50" s="64" t="s">
        <v>354</v>
      </c>
    </row>
    <row r="51" spans="2:14" x14ac:dyDescent="0.45">
      <c r="B51" s="54" t="s">
        <v>355</v>
      </c>
      <c r="C51" s="54" t="s">
        <v>356</v>
      </c>
      <c r="D51" s="54" t="s">
        <v>357</v>
      </c>
      <c r="E51" s="59" t="s">
        <v>358</v>
      </c>
      <c r="F51" s="54" t="s">
        <v>130</v>
      </c>
      <c r="G51" s="54" t="s">
        <v>131</v>
      </c>
      <c r="H51" s="54" t="s">
        <v>132</v>
      </c>
      <c r="I51" s="54" t="s">
        <v>133</v>
      </c>
      <c r="J51" s="63">
        <v>4300000</v>
      </c>
      <c r="K51" s="58" t="s">
        <v>359</v>
      </c>
      <c r="L51" s="58" t="s">
        <v>135</v>
      </c>
      <c r="M51" s="65" t="s">
        <v>130</v>
      </c>
      <c r="N51" s="65" t="s">
        <v>360</v>
      </c>
    </row>
    <row r="52" spans="2:14" x14ac:dyDescent="0.45">
      <c r="B52" s="54" t="s">
        <v>361</v>
      </c>
      <c r="C52" s="54" t="s">
        <v>362</v>
      </c>
      <c r="D52" s="54" t="s">
        <v>363</v>
      </c>
      <c r="E52" s="59" t="s">
        <v>364</v>
      </c>
      <c r="F52" s="54" t="s">
        <v>130</v>
      </c>
      <c r="G52" s="54" t="s">
        <v>131</v>
      </c>
      <c r="H52" s="54" t="s">
        <v>302</v>
      </c>
      <c r="I52" s="54" t="s">
        <v>207</v>
      </c>
      <c r="J52" s="56">
        <v>120000</v>
      </c>
      <c r="K52" s="57" t="s">
        <v>365</v>
      </c>
      <c r="L52" s="57" t="s">
        <v>297</v>
      </c>
      <c r="M52" s="65" t="s">
        <v>130</v>
      </c>
      <c r="N52" s="65" t="s">
        <v>366</v>
      </c>
    </row>
    <row r="53" spans="2:14" x14ac:dyDescent="0.45">
      <c r="B53" s="54" t="s">
        <v>104</v>
      </c>
      <c r="C53" s="54" t="s">
        <v>367</v>
      </c>
      <c r="D53" s="54" t="s">
        <v>368</v>
      </c>
      <c r="E53" s="59" t="s">
        <v>369</v>
      </c>
      <c r="F53" s="54" t="s">
        <v>130</v>
      </c>
      <c r="G53" s="54" t="s">
        <v>131</v>
      </c>
      <c r="H53" s="54" t="s">
        <v>302</v>
      </c>
      <c r="I53" s="54" t="s">
        <v>207</v>
      </c>
      <c r="J53" s="56">
        <v>145000</v>
      </c>
      <c r="K53" s="57" t="s">
        <v>370</v>
      </c>
      <c r="L53" s="57" t="s">
        <v>297</v>
      </c>
      <c r="M53" s="65" t="s">
        <v>130</v>
      </c>
      <c r="N53" s="65" t="s">
        <v>371</v>
      </c>
    </row>
    <row r="54" spans="2:14" x14ac:dyDescent="0.45">
      <c r="B54" s="54" t="s">
        <v>372</v>
      </c>
      <c r="C54" s="54" t="s">
        <v>373</v>
      </c>
      <c r="D54" s="54" t="s">
        <v>374</v>
      </c>
      <c r="E54" s="59" t="s">
        <v>375</v>
      </c>
      <c r="F54" s="54" t="s">
        <v>130</v>
      </c>
      <c r="G54" s="54" t="s">
        <v>131</v>
      </c>
      <c r="H54" s="54" t="s">
        <v>302</v>
      </c>
      <c r="I54" s="54" t="s">
        <v>207</v>
      </c>
      <c r="J54" s="56">
        <v>110000</v>
      </c>
      <c r="K54" s="57" t="s">
        <v>370</v>
      </c>
      <c r="L54" s="57" t="s">
        <v>297</v>
      </c>
      <c r="M54" s="65" t="s">
        <v>130</v>
      </c>
      <c r="N54" s="65" t="s">
        <v>376</v>
      </c>
    </row>
    <row r="55" spans="2:14" x14ac:dyDescent="0.45">
      <c r="B55" s="54" t="s">
        <v>377</v>
      </c>
      <c r="C55" s="54" t="s">
        <v>378</v>
      </c>
      <c r="D55" s="54" t="s">
        <v>379</v>
      </c>
      <c r="E55" s="59" t="s">
        <v>380</v>
      </c>
      <c r="F55" s="54" t="s">
        <v>130</v>
      </c>
      <c r="G55" s="54" t="s">
        <v>131</v>
      </c>
      <c r="H55" s="54" t="s">
        <v>302</v>
      </c>
      <c r="I55" s="54" t="s">
        <v>207</v>
      </c>
      <c r="J55" s="56">
        <v>3400</v>
      </c>
      <c r="K55" s="57" t="s">
        <v>370</v>
      </c>
      <c r="L55" s="57" t="s">
        <v>297</v>
      </c>
      <c r="M55" s="65" t="s">
        <v>130</v>
      </c>
      <c r="N55" s="65" t="s">
        <v>130</v>
      </c>
    </row>
    <row r="56" spans="2:14" x14ac:dyDescent="0.45">
      <c r="B56" s="54" t="s">
        <v>381</v>
      </c>
      <c r="C56" s="54" t="s">
        <v>382</v>
      </c>
      <c r="D56" s="54" t="s">
        <v>383</v>
      </c>
      <c r="E56" s="59" t="s">
        <v>384</v>
      </c>
      <c r="F56" s="54" t="s">
        <v>130</v>
      </c>
      <c r="G56" s="54" t="s">
        <v>131</v>
      </c>
      <c r="H56" s="54" t="s">
        <v>302</v>
      </c>
      <c r="I56" s="54" t="s">
        <v>207</v>
      </c>
      <c r="J56" s="56">
        <v>2000</v>
      </c>
      <c r="K56" s="57" t="s">
        <v>385</v>
      </c>
      <c r="L56" s="57" t="s">
        <v>297</v>
      </c>
      <c r="M56" s="65" t="s">
        <v>130</v>
      </c>
      <c r="N56" s="65" t="s">
        <v>130</v>
      </c>
    </row>
    <row r="57" spans="2:14" x14ac:dyDescent="0.45">
      <c r="B57" s="54" t="s">
        <v>386</v>
      </c>
      <c r="C57" s="54" t="s">
        <v>324</v>
      </c>
      <c r="D57" s="54" t="s">
        <v>387</v>
      </c>
      <c r="E57" s="59" t="s">
        <v>326</v>
      </c>
      <c r="F57" s="54" t="s">
        <v>130</v>
      </c>
      <c r="G57" s="54" t="s">
        <v>131</v>
      </c>
      <c r="H57" s="54" t="s">
        <v>302</v>
      </c>
      <c r="I57" s="54" t="s">
        <v>207</v>
      </c>
      <c r="J57" s="56">
        <v>920000</v>
      </c>
      <c r="K57" s="57" t="s">
        <v>314</v>
      </c>
      <c r="L57" s="57" t="s">
        <v>135</v>
      </c>
      <c r="M57" s="65" t="s">
        <v>130</v>
      </c>
      <c r="N57" s="64" t="s">
        <v>388</v>
      </c>
    </row>
    <row r="58" spans="2:14" x14ac:dyDescent="0.45">
      <c r="B58" s="54" t="s">
        <v>389</v>
      </c>
      <c r="C58" s="54" t="s">
        <v>324</v>
      </c>
      <c r="D58" s="54" t="s">
        <v>390</v>
      </c>
      <c r="E58" s="59" t="s">
        <v>326</v>
      </c>
      <c r="F58" s="54" t="s">
        <v>130</v>
      </c>
      <c r="G58" s="54" t="s">
        <v>131</v>
      </c>
      <c r="H58" s="54" t="s">
        <v>302</v>
      </c>
      <c r="I58" s="54" t="s">
        <v>207</v>
      </c>
      <c r="J58" s="56">
        <v>1380000</v>
      </c>
      <c r="K58" s="57" t="s">
        <v>314</v>
      </c>
      <c r="L58" s="57" t="s">
        <v>135</v>
      </c>
      <c r="M58" s="65" t="s">
        <v>130</v>
      </c>
      <c r="N58" s="64" t="s">
        <v>391</v>
      </c>
    </row>
    <row r="59" spans="2:14" x14ac:dyDescent="0.45">
      <c r="B59" s="54" t="s">
        <v>392</v>
      </c>
      <c r="C59" s="54" t="s">
        <v>324</v>
      </c>
      <c r="D59" s="54" t="s">
        <v>393</v>
      </c>
      <c r="E59" s="59" t="s">
        <v>326</v>
      </c>
      <c r="F59" s="54" t="s">
        <v>130</v>
      </c>
      <c r="G59" s="54" t="s">
        <v>131</v>
      </c>
      <c r="H59" s="54" t="s">
        <v>302</v>
      </c>
      <c r="I59" s="54" t="s">
        <v>207</v>
      </c>
      <c r="J59" s="56">
        <v>1762700</v>
      </c>
      <c r="K59" s="57" t="s">
        <v>314</v>
      </c>
      <c r="L59" s="57" t="s">
        <v>135</v>
      </c>
      <c r="M59" s="65" t="s">
        <v>130</v>
      </c>
      <c r="N59" s="64" t="s">
        <v>394</v>
      </c>
    </row>
    <row r="60" spans="2:14" x14ac:dyDescent="0.45">
      <c r="B60" s="54" t="s">
        <v>103</v>
      </c>
      <c r="C60" s="54" t="s">
        <v>395</v>
      </c>
      <c r="D60" s="54" t="s">
        <v>396</v>
      </c>
      <c r="E60" s="59" t="s">
        <v>347</v>
      </c>
      <c r="F60" s="54" t="s">
        <v>130</v>
      </c>
      <c r="G60" s="54" t="s">
        <v>131</v>
      </c>
      <c r="H60" s="54" t="s">
        <v>302</v>
      </c>
      <c r="I60" s="54" t="s">
        <v>207</v>
      </c>
      <c r="J60" s="56">
        <v>310000</v>
      </c>
      <c r="K60" s="57" t="s">
        <v>179</v>
      </c>
      <c r="L60" s="57" t="s">
        <v>135</v>
      </c>
      <c r="M60" s="65" t="s">
        <v>130</v>
      </c>
      <c r="N60" s="64" t="s">
        <v>397</v>
      </c>
    </row>
    <row r="61" spans="2:14" x14ac:dyDescent="0.45">
      <c r="B61" s="54" t="s">
        <v>98</v>
      </c>
      <c r="C61" s="54" t="s">
        <v>398</v>
      </c>
      <c r="D61" s="54" t="s">
        <v>399</v>
      </c>
      <c r="E61" s="59" t="s">
        <v>332</v>
      </c>
      <c r="F61" s="54" t="s">
        <v>130</v>
      </c>
      <c r="G61" s="54" t="s">
        <v>131</v>
      </c>
      <c r="H61" s="54" t="s">
        <v>302</v>
      </c>
      <c r="I61" s="54" t="s">
        <v>207</v>
      </c>
      <c r="J61" s="56">
        <v>2213000</v>
      </c>
      <c r="K61" s="57" t="s">
        <v>314</v>
      </c>
      <c r="L61" s="57" t="s">
        <v>135</v>
      </c>
      <c r="M61" s="65" t="s">
        <v>130</v>
      </c>
      <c r="N61" s="64" t="s">
        <v>400</v>
      </c>
    </row>
    <row r="62" spans="2:14" x14ac:dyDescent="0.45">
      <c r="B62" s="54" t="s">
        <v>401</v>
      </c>
      <c r="C62" s="54" t="s">
        <v>324</v>
      </c>
      <c r="D62" s="54" t="s">
        <v>402</v>
      </c>
      <c r="E62" s="59" t="s">
        <v>326</v>
      </c>
      <c r="F62" s="54" t="s">
        <v>130</v>
      </c>
      <c r="G62" s="54" t="s">
        <v>131</v>
      </c>
      <c r="H62" s="54" t="s">
        <v>132</v>
      </c>
      <c r="I62" s="54" t="s">
        <v>133</v>
      </c>
      <c r="J62" s="56">
        <v>684000</v>
      </c>
      <c r="K62" s="57" t="s">
        <v>314</v>
      </c>
      <c r="L62" s="57" t="s">
        <v>135</v>
      </c>
      <c r="M62" s="64" t="s">
        <v>126</v>
      </c>
      <c r="N62" s="64" t="s">
        <v>403</v>
      </c>
    </row>
    <row r="63" spans="2:14" x14ac:dyDescent="0.45">
      <c r="B63" s="54" t="s">
        <v>404</v>
      </c>
      <c r="C63" s="54" t="s">
        <v>336</v>
      </c>
      <c r="D63" s="54" t="s">
        <v>405</v>
      </c>
      <c r="E63" s="59" t="s">
        <v>338</v>
      </c>
      <c r="F63" s="54" t="s">
        <v>130</v>
      </c>
      <c r="G63" s="54" t="s">
        <v>131</v>
      </c>
      <c r="H63" s="54" t="s">
        <v>296</v>
      </c>
      <c r="I63" s="54" t="s">
        <v>133</v>
      </c>
      <c r="J63" s="56">
        <v>450500</v>
      </c>
      <c r="K63" s="57" t="s">
        <v>333</v>
      </c>
      <c r="L63" s="57" t="s">
        <v>135</v>
      </c>
      <c r="M63" s="64" t="s">
        <v>334</v>
      </c>
      <c r="N63" s="64" t="s">
        <v>406</v>
      </c>
    </row>
    <row r="64" spans="2:14" x14ac:dyDescent="0.45">
      <c r="B64" s="54" t="s">
        <v>407</v>
      </c>
      <c r="C64" s="54" t="s">
        <v>408</v>
      </c>
      <c r="D64" s="54" t="s">
        <v>409</v>
      </c>
      <c r="E64" s="59" t="s">
        <v>410</v>
      </c>
      <c r="F64" s="54" t="s">
        <v>411</v>
      </c>
      <c r="G64" s="54" t="s">
        <v>131</v>
      </c>
      <c r="H64" s="54" t="s">
        <v>132</v>
      </c>
      <c r="I64" s="54" t="s">
        <v>133</v>
      </c>
      <c r="J64" s="56">
        <v>190000</v>
      </c>
      <c r="K64" s="57" t="s">
        <v>370</v>
      </c>
      <c r="L64" s="57" t="s">
        <v>297</v>
      </c>
      <c r="M64" s="64"/>
      <c r="N64" s="64" t="s">
        <v>408</v>
      </c>
    </row>
    <row r="65" spans="2:14" x14ac:dyDescent="0.45">
      <c r="B65" s="67"/>
      <c r="C65" s="67"/>
      <c r="D65" s="67"/>
      <c r="E65" s="71"/>
      <c r="F65" s="67" t="s">
        <v>130</v>
      </c>
      <c r="G65" s="67"/>
      <c r="H65" s="67"/>
      <c r="I65" s="67"/>
      <c r="J65" s="69"/>
      <c r="K65" s="70"/>
      <c r="L65" s="70"/>
      <c r="M65" s="94"/>
      <c r="N65" s="94"/>
    </row>
    <row r="66" spans="2:14" x14ac:dyDescent="0.45">
      <c r="B66" s="54" t="s">
        <v>93</v>
      </c>
      <c r="C66" s="54" t="s">
        <v>412</v>
      </c>
      <c r="D66" s="54" t="s">
        <v>413</v>
      </c>
      <c r="E66" s="59" t="s">
        <v>414</v>
      </c>
      <c r="F66" s="54" t="s">
        <v>130</v>
      </c>
      <c r="G66" s="54" t="s">
        <v>131</v>
      </c>
      <c r="H66" s="54" t="s">
        <v>132</v>
      </c>
      <c r="I66" s="54" t="s">
        <v>133</v>
      </c>
      <c r="J66" s="56">
        <v>2840000</v>
      </c>
      <c r="K66" s="57" t="s">
        <v>415</v>
      </c>
      <c r="L66" s="57" t="s">
        <v>135</v>
      </c>
      <c r="M66" s="65" t="s">
        <v>416</v>
      </c>
      <c r="N66" s="65" t="s">
        <v>130</v>
      </c>
    </row>
    <row r="67" spans="2:14" x14ac:dyDescent="0.45">
      <c r="B67" s="54" t="s">
        <v>417</v>
      </c>
      <c r="C67" s="54" t="s">
        <v>412</v>
      </c>
      <c r="D67" s="54" t="s">
        <v>418</v>
      </c>
      <c r="E67" s="59" t="s">
        <v>419</v>
      </c>
      <c r="F67" s="54" t="s">
        <v>130</v>
      </c>
      <c r="G67" s="54" t="s">
        <v>131</v>
      </c>
      <c r="H67" s="54" t="s">
        <v>132</v>
      </c>
      <c r="I67" s="54" t="s">
        <v>133</v>
      </c>
      <c r="J67" s="56">
        <v>2110000</v>
      </c>
      <c r="K67" s="57" t="s">
        <v>415</v>
      </c>
      <c r="L67" s="57" t="s">
        <v>135</v>
      </c>
      <c r="M67" s="65" t="s">
        <v>416</v>
      </c>
      <c r="N67" s="65" t="s">
        <v>130</v>
      </c>
    </row>
    <row r="68" spans="2:14" x14ac:dyDescent="0.45">
      <c r="B68" s="54" t="s">
        <v>75</v>
      </c>
      <c r="C68" s="54" t="s">
        <v>412</v>
      </c>
      <c r="D68" s="54" t="s">
        <v>420</v>
      </c>
      <c r="E68" s="59" t="s">
        <v>421</v>
      </c>
      <c r="F68" s="54" t="s">
        <v>130</v>
      </c>
      <c r="G68" s="54" t="s">
        <v>131</v>
      </c>
      <c r="H68" s="54" t="s">
        <v>132</v>
      </c>
      <c r="I68" s="54" t="s">
        <v>133</v>
      </c>
      <c r="J68" s="56">
        <v>1325500</v>
      </c>
      <c r="K68" s="57" t="s">
        <v>415</v>
      </c>
      <c r="L68" s="57" t="s">
        <v>135</v>
      </c>
      <c r="M68" s="65" t="s">
        <v>416</v>
      </c>
      <c r="N68" s="65" t="s">
        <v>130</v>
      </c>
    </row>
    <row r="69" spans="2:14" x14ac:dyDescent="0.45">
      <c r="B69" s="54" t="s">
        <v>422</v>
      </c>
      <c r="C69" s="54" t="s">
        <v>423</v>
      </c>
      <c r="D69" s="54" t="s">
        <v>424</v>
      </c>
      <c r="E69" s="59" t="s">
        <v>425</v>
      </c>
      <c r="F69" s="54" t="s">
        <v>130</v>
      </c>
      <c r="G69" s="54" t="s">
        <v>131</v>
      </c>
      <c r="H69" s="54" t="s">
        <v>132</v>
      </c>
      <c r="I69" s="54" t="s">
        <v>133</v>
      </c>
      <c r="J69" s="56"/>
      <c r="K69" s="57" t="s">
        <v>415</v>
      </c>
      <c r="L69" s="57" t="s">
        <v>135</v>
      </c>
      <c r="M69" s="65" t="s">
        <v>130</v>
      </c>
      <c r="N69" s="65" t="s">
        <v>130</v>
      </c>
    </row>
    <row r="70" spans="2:14" x14ac:dyDescent="0.45">
      <c r="B70" s="54" t="s">
        <v>426</v>
      </c>
      <c r="C70" s="54" t="s">
        <v>423</v>
      </c>
      <c r="D70" s="54" t="s">
        <v>427</v>
      </c>
      <c r="E70" s="59" t="s">
        <v>428</v>
      </c>
      <c r="F70" s="54" t="s">
        <v>130</v>
      </c>
      <c r="G70" s="54" t="s">
        <v>131</v>
      </c>
      <c r="H70" s="54" t="s">
        <v>132</v>
      </c>
      <c r="I70" s="54" t="s">
        <v>133</v>
      </c>
      <c r="J70" s="56">
        <v>510000</v>
      </c>
      <c r="K70" s="57" t="s">
        <v>415</v>
      </c>
      <c r="L70" s="57" t="s">
        <v>135</v>
      </c>
      <c r="M70" s="65" t="s">
        <v>130</v>
      </c>
      <c r="N70" s="65" t="s">
        <v>130</v>
      </c>
    </row>
    <row r="71" spans="2:14" x14ac:dyDescent="0.45">
      <c r="B71" s="67"/>
      <c r="C71" s="67"/>
      <c r="D71" s="67"/>
      <c r="E71" s="71"/>
      <c r="F71" s="67" t="s">
        <v>130</v>
      </c>
      <c r="G71" s="67"/>
      <c r="H71" s="67"/>
      <c r="I71" s="67"/>
      <c r="J71" s="69"/>
      <c r="K71" s="70"/>
      <c r="L71" s="70"/>
      <c r="M71" s="94"/>
      <c r="N71" s="94"/>
    </row>
    <row r="72" spans="2:14" x14ac:dyDescent="0.45">
      <c r="B72" s="54" t="s">
        <v>113</v>
      </c>
      <c r="C72" s="54" t="s">
        <v>429</v>
      </c>
      <c r="D72" s="54" t="s">
        <v>430</v>
      </c>
      <c r="E72" s="59" t="s">
        <v>431</v>
      </c>
      <c r="F72" s="54" t="s">
        <v>130</v>
      </c>
      <c r="G72" s="54" t="s">
        <v>295</v>
      </c>
      <c r="H72" s="54" t="s">
        <v>302</v>
      </c>
      <c r="I72" s="54" t="s">
        <v>207</v>
      </c>
      <c r="J72" s="56">
        <v>505000</v>
      </c>
      <c r="K72" s="57" t="s">
        <v>237</v>
      </c>
      <c r="L72" s="57" t="s">
        <v>297</v>
      </c>
      <c r="M72" s="65" t="s">
        <v>432</v>
      </c>
      <c r="N72" s="65" t="s">
        <v>126</v>
      </c>
    </row>
    <row r="73" spans="2:14" x14ac:dyDescent="0.45">
      <c r="B73" s="54" t="s">
        <v>433</v>
      </c>
      <c r="C73" s="54" t="s">
        <v>429</v>
      </c>
      <c r="D73" s="54" t="s">
        <v>434</v>
      </c>
      <c r="E73" s="59" t="s">
        <v>435</v>
      </c>
      <c r="F73" s="54" t="s">
        <v>130</v>
      </c>
      <c r="G73" s="54" t="s">
        <v>295</v>
      </c>
      <c r="H73" s="54" t="s">
        <v>302</v>
      </c>
      <c r="I73" s="54" t="s">
        <v>207</v>
      </c>
      <c r="J73" s="56">
        <v>505000</v>
      </c>
      <c r="K73" s="57" t="s">
        <v>237</v>
      </c>
      <c r="L73" s="57" t="s">
        <v>297</v>
      </c>
      <c r="M73" s="65" t="s">
        <v>432</v>
      </c>
      <c r="N73" s="65" t="s">
        <v>126</v>
      </c>
    </row>
    <row r="74" spans="2:14" x14ac:dyDescent="0.45">
      <c r="B74" s="54" t="s">
        <v>436</v>
      </c>
      <c r="C74" s="54" t="s">
        <v>429</v>
      </c>
      <c r="D74" s="54" t="s">
        <v>437</v>
      </c>
      <c r="E74" s="59" t="s">
        <v>438</v>
      </c>
      <c r="F74" s="54" t="s">
        <v>130</v>
      </c>
      <c r="G74" s="54" t="s">
        <v>295</v>
      </c>
      <c r="H74" s="54" t="s">
        <v>302</v>
      </c>
      <c r="I74" s="54" t="s">
        <v>207</v>
      </c>
      <c r="J74" s="56">
        <v>1800000</v>
      </c>
      <c r="K74" s="57" t="s">
        <v>237</v>
      </c>
      <c r="L74" s="57" t="s">
        <v>297</v>
      </c>
      <c r="M74" s="65" t="s">
        <v>126</v>
      </c>
      <c r="N74" s="65" t="s">
        <v>130</v>
      </c>
    </row>
    <row r="75" spans="2:14" x14ac:dyDescent="0.45">
      <c r="B75" s="54" t="s">
        <v>116</v>
      </c>
      <c r="C75" s="54" t="s">
        <v>439</v>
      </c>
      <c r="D75" s="54" t="s">
        <v>440</v>
      </c>
      <c r="E75" s="59" t="s">
        <v>441</v>
      </c>
      <c r="F75" s="54" t="s">
        <v>130</v>
      </c>
      <c r="G75" s="54" t="s">
        <v>131</v>
      </c>
      <c r="H75" s="54" t="s">
        <v>132</v>
      </c>
      <c r="I75" s="54" t="s">
        <v>133</v>
      </c>
      <c r="J75" s="56">
        <v>72000</v>
      </c>
      <c r="K75" s="57" t="s">
        <v>442</v>
      </c>
      <c r="L75" s="57" t="s">
        <v>135</v>
      </c>
      <c r="M75" s="65" t="s">
        <v>130</v>
      </c>
      <c r="N75" s="65" t="s">
        <v>443</v>
      </c>
    </row>
    <row r="76" spans="2:14" x14ac:dyDescent="0.45">
      <c r="B76" s="54" t="s">
        <v>115</v>
      </c>
      <c r="C76" s="54" t="s">
        <v>444</v>
      </c>
      <c r="D76" s="54" t="s">
        <v>445</v>
      </c>
      <c r="E76" s="59" t="s">
        <v>446</v>
      </c>
      <c r="F76" s="54" t="s">
        <v>130</v>
      </c>
      <c r="G76" s="54" t="s">
        <v>131</v>
      </c>
      <c r="H76" s="54" t="s">
        <v>447</v>
      </c>
      <c r="I76" s="54" t="s">
        <v>133</v>
      </c>
      <c r="J76" s="56">
        <v>50000</v>
      </c>
      <c r="K76" s="57" t="s">
        <v>291</v>
      </c>
      <c r="L76" s="57" t="s">
        <v>135</v>
      </c>
      <c r="M76" s="65" t="s">
        <v>130</v>
      </c>
      <c r="N76" s="65" t="s">
        <v>448</v>
      </c>
    </row>
    <row r="77" spans="2:14" x14ac:dyDescent="0.45">
      <c r="B77" s="54" t="s">
        <v>87</v>
      </c>
      <c r="C77" s="54" t="s">
        <v>449</v>
      </c>
      <c r="D77" s="54" t="s">
        <v>450</v>
      </c>
      <c r="E77" s="59" t="s">
        <v>451</v>
      </c>
      <c r="F77" s="54" t="s">
        <v>130</v>
      </c>
      <c r="G77" s="54" t="s">
        <v>131</v>
      </c>
      <c r="H77" s="54" t="s">
        <v>447</v>
      </c>
      <c r="I77" s="54" t="s">
        <v>133</v>
      </c>
      <c r="J77" s="56">
        <v>1200000</v>
      </c>
      <c r="K77" s="57" t="s">
        <v>452</v>
      </c>
      <c r="L77" s="57" t="s">
        <v>135</v>
      </c>
      <c r="M77" s="65" t="s">
        <v>453</v>
      </c>
      <c r="N77" s="65" t="s">
        <v>454</v>
      </c>
    </row>
    <row r="78" spans="2:14" x14ac:dyDescent="0.45">
      <c r="B78" s="54" t="s">
        <v>88</v>
      </c>
      <c r="C78" s="54" t="s">
        <v>455</v>
      </c>
      <c r="D78" s="54" t="s">
        <v>456</v>
      </c>
      <c r="E78" s="59" t="s">
        <v>457</v>
      </c>
      <c r="F78" s="54" t="s">
        <v>130</v>
      </c>
      <c r="G78" s="54" t="s">
        <v>131</v>
      </c>
      <c r="H78" s="54" t="s">
        <v>132</v>
      </c>
      <c r="I78" s="54" t="s">
        <v>133</v>
      </c>
      <c r="J78" s="56">
        <v>3900000</v>
      </c>
      <c r="K78" s="57" t="s">
        <v>237</v>
      </c>
      <c r="L78" s="57" t="s">
        <v>135</v>
      </c>
      <c r="M78" s="65" t="s">
        <v>130</v>
      </c>
      <c r="N78" s="65" t="s">
        <v>305</v>
      </c>
    </row>
    <row r="79" spans="2:14" x14ac:dyDescent="0.45">
      <c r="B79" s="54" t="s">
        <v>458</v>
      </c>
      <c r="C79" s="54" t="s">
        <v>459</v>
      </c>
      <c r="D79" s="54" t="s">
        <v>460</v>
      </c>
      <c r="E79" s="59" t="s">
        <v>461</v>
      </c>
      <c r="F79" s="54" t="s">
        <v>130</v>
      </c>
      <c r="G79" s="54" t="s">
        <v>295</v>
      </c>
      <c r="H79" s="54" t="s">
        <v>302</v>
      </c>
      <c r="I79" s="54" t="s">
        <v>207</v>
      </c>
      <c r="J79" s="56">
        <v>50000</v>
      </c>
      <c r="K79" s="57" t="s">
        <v>208</v>
      </c>
      <c r="L79" s="57" t="s">
        <v>297</v>
      </c>
      <c r="M79" s="65" t="s">
        <v>130</v>
      </c>
      <c r="N79" s="65" t="s">
        <v>130</v>
      </c>
    </row>
    <row r="80" spans="2:14" x14ac:dyDescent="0.45">
      <c r="B80" s="54" t="s">
        <v>462</v>
      </c>
      <c r="C80" s="54" t="s">
        <v>429</v>
      </c>
      <c r="D80" s="54" t="s">
        <v>463</v>
      </c>
      <c r="E80" s="59" t="s">
        <v>464</v>
      </c>
      <c r="F80" s="54" t="s">
        <v>130</v>
      </c>
      <c r="G80" s="54" t="s">
        <v>295</v>
      </c>
      <c r="H80" s="54" t="s">
        <v>302</v>
      </c>
      <c r="I80" s="54" t="s">
        <v>207</v>
      </c>
      <c r="J80" s="56">
        <v>1100000</v>
      </c>
      <c r="K80" s="57" t="s">
        <v>179</v>
      </c>
      <c r="L80" s="57" t="s">
        <v>297</v>
      </c>
      <c r="M80" s="65" t="s">
        <v>130</v>
      </c>
      <c r="N80" s="65" t="s">
        <v>130</v>
      </c>
    </row>
    <row r="81" spans="2:14" x14ac:dyDescent="0.45">
      <c r="B81" s="54" t="s">
        <v>465</v>
      </c>
      <c r="C81" s="54" t="s">
        <v>429</v>
      </c>
      <c r="D81" s="54" t="s">
        <v>466</v>
      </c>
      <c r="E81" s="59" t="s">
        <v>467</v>
      </c>
      <c r="F81" s="54" t="s">
        <v>130</v>
      </c>
      <c r="G81" s="54" t="s">
        <v>295</v>
      </c>
      <c r="H81" s="54" t="s">
        <v>302</v>
      </c>
      <c r="I81" s="54" t="s">
        <v>207</v>
      </c>
      <c r="J81" s="56">
        <v>505000</v>
      </c>
      <c r="K81" s="57" t="s">
        <v>237</v>
      </c>
      <c r="L81" s="57" t="s">
        <v>297</v>
      </c>
      <c r="M81" s="65" t="s">
        <v>432</v>
      </c>
      <c r="N81" s="65" t="s">
        <v>130</v>
      </c>
    </row>
    <row r="82" spans="2:14" x14ac:dyDescent="0.45">
      <c r="B82" s="54" t="s">
        <v>468</v>
      </c>
      <c r="C82" s="54" t="s">
        <v>469</v>
      </c>
      <c r="D82" s="54" t="s">
        <v>470</v>
      </c>
      <c r="E82" s="59" t="s">
        <v>471</v>
      </c>
      <c r="F82" s="54" t="s">
        <v>130</v>
      </c>
      <c r="G82" s="54" t="s">
        <v>131</v>
      </c>
      <c r="H82" s="54" t="s">
        <v>132</v>
      </c>
      <c r="I82" s="54" t="s">
        <v>133</v>
      </c>
      <c r="J82" s="56">
        <v>230000</v>
      </c>
      <c r="K82" s="57" t="s">
        <v>314</v>
      </c>
      <c r="L82" s="57" t="s">
        <v>297</v>
      </c>
      <c r="M82" s="65" t="s">
        <v>130</v>
      </c>
      <c r="N82" s="65" t="s">
        <v>472</v>
      </c>
    </row>
    <row r="83" spans="2:14" x14ac:dyDescent="0.45">
      <c r="B83" s="54" t="s">
        <v>72</v>
      </c>
      <c r="C83" s="54" t="s">
        <v>473</v>
      </c>
      <c r="D83" s="54" t="s">
        <v>474</v>
      </c>
      <c r="E83" s="59" t="s">
        <v>475</v>
      </c>
      <c r="F83" s="54" t="s">
        <v>130</v>
      </c>
      <c r="G83" s="54" t="s">
        <v>295</v>
      </c>
      <c r="H83" s="54" t="s">
        <v>302</v>
      </c>
      <c r="I83" s="54" t="s">
        <v>207</v>
      </c>
      <c r="J83" s="63">
        <v>150000</v>
      </c>
      <c r="K83" s="58" t="s">
        <v>476</v>
      </c>
      <c r="L83" s="57" t="s">
        <v>297</v>
      </c>
      <c r="M83" s="65" t="s">
        <v>130</v>
      </c>
      <c r="N83" s="65" t="s">
        <v>477</v>
      </c>
    </row>
    <row r="84" spans="2:14" x14ac:dyDescent="0.45">
      <c r="B84" s="54" t="s">
        <v>65</v>
      </c>
      <c r="C84" s="54" t="s">
        <v>478</v>
      </c>
      <c r="D84" s="54" t="s">
        <v>479</v>
      </c>
      <c r="E84" s="59" t="s">
        <v>480</v>
      </c>
      <c r="F84" s="54" t="s">
        <v>130</v>
      </c>
      <c r="G84" s="54" t="s">
        <v>295</v>
      </c>
      <c r="H84" s="54" t="s">
        <v>302</v>
      </c>
      <c r="I84" s="54" t="s">
        <v>207</v>
      </c>
      <c r="J84" s="63">
        <v>95000</v>
      </c>
      <c r="K84" s="58" t="s">
        <v>442</v>
      </c>
      <c r="L84" s="57" t="s">
        <v>297</v>
      </c>
      <c r="M84" s="65" t="s">
        <v>130</v>
      </c>
      <c r="N84" s="65" t="s">
        <v>481</v>
      </c>
    </row>
    <row r="85" spans="2:14" x14ac:dyDescent="0.45">
      <c r="B85" s="54" t="s">
        <v>73</v>
      </c>
      <c r="C85" s="54" t="s">
        <v>482</v>
      </c>
      <c r="D85" s="54" t="s">
        <v>483</v>
      </c>
      <c r="E85" s="59" t="s">
        <v>484</v>
      </c>
      <c r="F85" s="54" t="s">
        <v>130</v>
      </c>
      <c r="G85" s="54" t="s">
        <v>295</v>
      </c>
      <c r="H85" s="54" t="s">
        <v>302</v>
      </c>
      <c r="I85" s="54" t="s">
        <v>207</v>
      </c>
      <c r="J85" s="63">
        <v>77000</v>
      </c>
      <c r="K85" s="58" t="s">
        <v>485</v>
      </c>
      <c r="L85" s="57" t="s">
        <v>297</v>
      </c>
      <c r="M85" s="65" t="s">
        <v>130</v>
      </c>
      <c r="N85" s="65" t="s">
        <v>486</v>
      </c>
    </row>
    <row r="86" spans="2:14" x14ac:dyDescent="0.45">
      <c r="B86" s="54" t="s">
        <v>487</v>
      </c>
      <c r="C86" s="54" t="s">
        <v>488</v>
      </c>
      <c r="D86" s="54" t="s">
        <v>489</v>
      </c>
      <c r="E86" s="59"/>
      <c r="F86" s="54" t="s">
        <v>130</v>
      </c>
      <c r="G86" s="54" t="s">
        <v>295</v>
      </c>
      <c r="H86" s="54" t="s">
        <v>302</v>
      </c>
      <c r="I86" s="54" t="s">
        <v>207</v>
      </c>
      <c r="J86" s="63">
        <v>280000</v>
      </c>
      <c r="K86" s="58" t="s">
        <v>490</v>
      </c>
      <c r="L86" s="57" t="s">
        <v>297</v>
      </c>
      <c r="M86" s="65" t="s">
        <v>130</v>
      </c>
      <c r="N86" s="65" t="s">
        <v>491</v>
      </c>
    </row>
    <row r="87" spans="2:14" x14ac:dyDescent="0.45">
      <c r="B87" s="54" t="s">
        <v>492</v>
      </c>
      <c r="C87" s="54" t="s">
        <v>493</v>
      </c>
      <c r="D87" s="54" t="s">
        <v>494</v>
      </c>
      <c r="E87" s="59"/>
      <c r="F87" s="54" t="s">
        <v>130</v>
      </c>
      <c r="G87" s="54" t="s">
        <v>295</v>
      </c>
      <c r="H87" s="54" t="s">
        <v>302</v>
      </c>
      <c r="I87" s="54" t="s">
        <v>207</v>
      </c>
      <c r="J87" s="63">
        <v>195000</v>
      </c>
      <c r="K87" s="57" t="s">
        <v>385</v>
      </c>
      <c r="L87" s="57" t="s">
        <v>297</v>
      </c>
      <c r="M87" s="65" t="s">
        <v>130</v>
      </c>
      <c r="N87" s="65" t="s">
        <v>130</v>
      </c>
    </row>
    <row r="88" spans="2:14" x14ac:dyDescent="0.45">
      <c r="B88" s="54" t="s">
        <v>102</v>
      </c>
      <c r="C88" s="54" t="s">
        <v>429</v>
      </c>
      <c r="D88" s="54" t="s">
        <v>495</v>
      </c>
      <c r="E88" s="59" t="s">
        <v>496</v>
      </c>
      <c r="F88" s="54" t="s">
        <v>130</v>
      </c>
      <c r="G88" s="54" t="s">
        <v>295</v>
      </c>
      <c r="H88" s="54" t="s">
        <v>302</v>
      </c>
      <c r="I88" s="54" t="s">
        <v>207</v>
      </c>
      <c r="J88" s="63">
        <v>505000</v>
      </c>
      <c r="K88" s="57" t="s">
        <v>237</v>
      </c>
      <c r="L88" s="57" t="s">
        <v>297</v>
      </c>
      <c r="M88" s="65" t="s">
        <v>432</v>
      </c>
      <c r="N88" s="65" t="s">
        <v>130</v>
      </c>
    </row>
    <row r="89" spans="2:14" x14ac:dyDescent="0.45">
      <c r="B89" s="54" t="s">
        <v>497</v>
      </c>
      <c r="C89" s="54" t="s">
        <v>498</v>
      </c>
      <c r="D89" s="54" t="s">
        <v>499</v>
      </c>
      <c r="E89" s="55" t="s">
        <v>500</v>
      </c>
      <c r="F89" s="54" t="s">
        <v>130</v>
      </c>
      <c r="G89" s="54" t="s">
        <v>295</v>
      </c>
      <c r="H89" s="54" t="s">
        <v>302</v>
      </c>
      <c r="I89" s="54" t="s">
        <v>207</v>
      </c>
      <c r="J89" s="63">
        <v>190000</v>
      </c>
      <c r="K89" s="58" t="s">
        <v>501</v>
      </c>
      <c r="L89" s="57" t="s">
        <v>297</v>
      </c>
      <c r="M89" s="65" t="s">
        <v>130</v>
      </c>
      <c r="N89" s="59" t="s">
        <v>502</v>
      </c>
    </row>
    <row r="90" spans="2:14" x14ac:dyDescent="0.45">
      <c r="B90" s="54" t="s">
        <v>76</v>
      </c>
      <c r="C90" s="95" t="s">
        <v>503</v>
      </c>
      <c r="D90" s="54" t="s">
        <v>504</v>
      </c>
      <c r="E90" s="96" t="s">
        <v>505</v>
      </c>
      <c r="F90" s="54" t="s">
        <v>130</v>
      </c>
      <c r="G90" s="54" t="s">
        <v>295</v>
      </c>
      <c r="H90" s="54" t="s">
        <v>302</v>
      </c>
      <c r="I90" s="54" t="s">
        <v>207</v>
      </c>
      <c r="J90" s="97">
        <v>10800</v>
      </c>
      <c r="K90" s="98" t="s">
        <v>442</v>
      </c>
      <c r="L90" s="57" t="s">
        <v>297</v>
      </c>
      <c r="M90" s="65" t="s">
        <v>130</v>
      </c>
      <c r="N90" s="65" t="s">
        <v>130</v>
      </c>
    </row>
    <row r="91" spans="2:14" x14ac:dyDescent="0.45">
      <c r="B91" s="54" t="s">
        <v>77</v>
      </c>
      <c r="C91" s="95" t="s">
        <v>506</v>
      </c>
      <c r="D91" s="54" t="s">
        <v>507</v>
      </c>
      <c r="E91" s="96" t="s">
        <v>505</v>
      </c>
      <c r="F91" s="54" t="s">
        <v>130</v>
      </c>
      <c r="G91" s="54" t="s">
        <v>295</v>
      </c>
      <c r="H91" s="54" t="s">
        <v>302</v>
      </c>
      <c r="I91" s="54" t="s">
        <v>207</v>
      </c>
      <c r="J91" s="97">
        <v>9900</v>
      </c>
      <c r="K91" s="98" t="s">
        <v>508</v>
      </c>
      <c r="L91" s="57" t="s">
        <v>297</v>
      </c>
      <c r="M91" s="65" t="s">
        <v>130</v>
      </c>
      <c r="N91" s="65" t="s">
        <v>130</v>
      </c>
    </row>
    <row r="92" spans="2:14" x14ac:dyDescent="0.45">
      <c r="B92" s="54" t="s">
        <v>509</v>
      </c>
      <c r="C92" s="95" t="s">
        <v>510</v>
      </c>
      <c r="D92" s="54" t="s">
        <v>511</v>
      </c>
      <c r="E92" s="96" t="s">
        <v>512</v>
      </c>
      <c r="F92" s="95"/>
      <c r="G92" s="54" t="s">
        <v>295</v>
      </c>
      <c r="H92" s="54" t="s">
        <v>302</v>
      </c>
      <c r="I92" s="54" t="s">
        <v>207</v>
      </c>
      <c r="J92" s="97">
        <v>25000</v>
      </c>
      <c r="K92" s="98" t="s">
        <v>442</v>
      </c>
      <c r="L92" s="57" t="s">
        <v>297</v>
      </c>
      <c r="M92" s="65" t="s">
        <v>130</v>
      </c>
      <c r="N92" s="99" t="s">
        <v>513</v>
      </c>
    </row>
    <row r="93" spans="2:14" x14ac:dyDescent="0.45">
      <c r="B93" s="54" t="s">
        <v>514</v>
      </c>
      <c r="C93" s="54" t="s">
        <v>429</v>
      </c>
      <c r="D93" s="54" t="s">
        <v>515</v>
      </c>
      <c r="E93" s="59" t="s">
        <v>516</v>
      </c>
      <c r="F93" s="54" t="s">
        <v>130</v>
      </c>
      <c r="G93" s="54" t="s">
        <v>295</v>
      </c>
      <c r="H93" s="54" t="s">
        <v>302</v>
      </c>
      <c r="I93" s="54" t="s">
        <v>207</v>
      </c>
      <c r="J93" s="56">
        <v>505000</v>
      </c>
      <c r="K93" s="57" t="s">
        <v>237</v>
      </c>
      <c r="L93" s="57" t="s">
        <v>297</v>
      </c>
      <c r="M93" s="65" t="s">
        <v>432</v>
      </c>
      <c r="N93" s="65" t="s">
        <v>130</v>
      </c>
    </row>
    <row r="94" spans="2:14" x14ac:dyDescent="0.45">
      <c r="B94" s="54" t="s">
        <v>517</v>
      </c>
      <c r="C94" s="54" t="s">
        <v>449</v>
      </c>
      <c r="D94" s="54" t="s">
        <v>518</v>
      </c>
      <c r="E94" s="59" t="s">
        <v>451</v>
      </c>
      <c r="F94" s="54" t="s">
        <v>130</v>
      </c>
      <c r="G94" s="54" t="s">
        <v>131</v>
      </c>
      <c r="H94" s="54" t="s">
        <v>447</v>
      </c>
      <c r="I94" s="54" t="s">
        <v>133</v>
      </c>
      <c r="J94" s="56">
        <v>1580000</v>
      </c>
      <c r="K94" s="57" t="s">
        <v>452</v>
      </c>
      <c r="L94" s="57" t="s">
        <v>135</v>
      </c>
      <c r="M94" s="65" t="s">
        <v>519</v>
      </c>
      <c r="N94" s="65" t="s">
        <v>520</v>
      </c>
    </row>
  </sheetData>
  <mergeCells count="2">
    <mergeCell ref="S4:V4"/>
    <mergeCell ref="X4:Y4"/>
  </mergeCells>
  <phoneticPr fontId="3" type="noConversion"/>
  <printOptions horizontalCentered="1"/>
  <pageMargins left="0.70866141732283472" right="0.70866141732283472" top="0.74803149606299213" bottom="0.74803149606299213" header="0.31496062992125984" footer="0.31496062992125984"/>
  <pageSetup paperSize="9" scale="62" fitToHeight="111" orientation="landscape" r:id="rId1"/>
  <headerFooter>
    <oddFooter>&amp;L_x000D_&amp;1#&amp;"Calibri"&amp;9&amp;K000000 Confidential | AVIKUS – Unauthorized distribution is strictly prohibited</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C33C0-E38D-4D6D-B1C4-6D95598EC17E}">
  <sheetPr>
    <pageSetUpPr fitToPage="1"/>
  </sheetPr>
  <dimension ref="B1:G21"/>
  <sheetViews>
    <sheetView showGridLines="0" zoomScaleNormal="100" workbookViewId="0">
      <selection activeCell="J20" sqref="J20"/>
    </sheetView>
  </sheetViews>
  <sheetFormatPr defaultRowHeight="17" x14ac:dyDescent="0.45"/>
  <cols>
    <col min="1" max="1" width="2.58203125" style="2" customWidth="1"/>
    <col min="2" max="2" width="12.58203125" style="2" customWidth="1"/>
    <col min="3" max="3" width="11.58203125" style="2" bestFit="1" customWidth="1"/>
    <col min="4" max="4" width="33.5" style="2" customWidth="1"/>
    <col min="5" max="5" width="32.5" style="2" customWidth="1"/>
    <col min="6" max="6" width="12.6640625" style="2" customWidth="1"/>
    <col min="7" max="7" width="27.6640625" style="2" customWidth="1"/>
    <col min="8" max="16384" width="8.6640625" style="2"/>
  </cols>
  <sheetData>
    <row r="1" spans="2:7" ht="26" x14ac:dyDescent="0.45">
      <c r="B1" s="100" t="s">
        <v>521</v>
      </c>
      <c r="C1" s="100"/>
    </row>
    <row r="3" spans="2:7" ht="34" x14ac:dyDescent="0.45">
      <c r="B3" s="23" t="s">
        <v>522</v>
      </c>
      <c r="C3" s="23" t="s">
        <v>523</v>
      </c>
      <c r="D3" s="23" t="s">
        <v>524</v>
      </c>
      <c r="E3" s="23" t="s">
        <v>525</v>
      </c>
      <c r="F3" s="101" t="s">
        <v>51</v>
      </c>
      <c r="G3" s="101" t="s">
        <v>124</v>
      </c>
    </row>
    <row r="4" spans="2:7" x14ac:dyDescent="0.45">
      <c r="B4" s="102" t="s">
        <v>526</v>
      </c>
      <c r="C4" s="5" t="s">
        <v>527</v>
      </c>
      <c r="D4" s="4" t="s">
        <v>528</v>
      </c>
      <c r="E4" s="4"/>
      <c r="F4" s="4"/>
      <c r="G4" s="4"/>
    </row>
    <row r="5" spans="2:7" x14ac:dyDescent="0.45">
      <c r="B5" s="103"/>
      <c r="C5" s="5" t="s">
        <v>529</v>
      </c>
      <c r="D5" s="4" t="s">
        <v>530</v>
      </c>
      <c r="E5" s="4"/>
      <c r="F5" s="4"/>
      <c r="G5" s="4"/>
    </row>
    <row r="6" spans="2:7" x14ac:dyDescent="0.45">
      <c r="B6" s="103"/>
      <c r="C6" s="5" t="s">
        <v>531</v>
      </c>
      <c r="D6" s="4" t="s">
        <v>532</v>
      </c>
      <c r="E6" s="4"/>
      <c r="F6" s="4"/>
      <c r="G6" s="4"/>
    </row>
    <row r="7" spans="2:7" x14ac:dyDescent="0.45">
      <c r="B7" s="103"/>
      <c r="C7" s="5" t="s">
        <v>533</v>
      </c>
      <c r="D7" s="4" t="s">
        <v>534</v>
      </c>
      <c r="E7" s="4"/>
      <c r="F7" s="4"/>
      <c r="G7" s="4"/>
    </row>
    <row r="8" spans="2:7" x14ac:dyDescent="0.45">
      <c r="B8" s="103"/>
      <c r="C8" s="5" t="s">
        <v>535</v>
      </c>
      <c r="D8" s="4" t="s">
        <v>536</v>
      </c>
      <c r="E8" s="4"/>
      <c r="F8" s="4"/>
      <c r="G8" s="4"/>
    </row>
    <row r="9" spans="2:7" x14ac:dyDescent="0.45">
      <c r="B9" s="103"/>
      <c r="C9" s="5" t="s">
        <v>537</v>
      </c>
      <c r="D9" s="38" t="s">
        <v>538</v>
      </c>
      <c r="E9" s="4"/>
      <c r="F9" s="4"/>
      <c r="G9" s="4"/>
    </row>
    <row r="10" spans="2:7" x14ac:dyDescent="0.45">
      <c r="B10" s="103"/>
      <c r="C10" s="5" t="s">
        <v>539</v>
      </c>
      <c r="D10" s="4" t="s">
        <v>540</v>
      </c>
      <c r="E10" s="4"/>
      <c r="F10" s="4"/>
      <c r="G10" s="4"/>
    </row>
    <row r="11" spans="2:7" x14ac:dyDescent="0.45">
      <c r="B11" s="103"/>
      <c r="C11" s="5" t="s">
        <v>541</v>
      </c>
      <c r="D11" s="4" t="s">
        <v>542</v>
      </c>
      <c r="E11" s="4"/>
      <c r="F11" s="4"/>
      <c r="G11" s="4"/>
    </row>
    <row r="12" spans="2:7" x14ac:dyDescent="0.45">
      <c r="B12" s="103"/>
      <c r="C12" s="5" t="s">
        <v>29</v>
      </c>
      <c r="D12" s="4" t="s">
        <v>543</v>
      </c>
      <c r="E12" s="4"/>
      <c r="F12" s="4"/>
      <c r="G12" s="4"/>
    </row>
    <row r="13" spans="2:7" x14ac:dyDescent="0.45">
      <c r="B13" s="103"/>
      <c r="C13" s="5" t="s">
        <v>30</v>
      </c>
      <c r="D13" s="4" t="s">
        <v>544</v>
      </c>
      <c r="E13" s="4"/>
      <c r="F13" s="4"/>
      <c r="G13" s="4"/>
    </row>
    <row r="14" spans="2:7" x14ac:dyDescent="0.45">
      <c r="B14" s="103"/>
      <c r="C14" s="5" t="s">
        <v>31</v>
      </c>
      <c r="D14" s="4" t="s">
        <v>545</v>
      </c>
      <c r="E14" s="4"/>
      <c r="F14" s="4"/>
      <c r="G14" s="4"/>
    </row>
    <row r="15" spans="2:7" x14ac:dyDescent="0.45">
      <c r="B15" s="103"/>
      <c r="C15" s="5" t="s">
        <v>33</v>
      </c>
      <c r="D15" s="4" t="s">
        <v>546</v>
      </c>
      <c r="E15" s="4"/>
      <c r="F15" s="4"/>
      <c r="G15" s="4"/>
    </row>
    <row r="16" spans="2:7" x14ac:dyDescent="0.45">
      <c r="B16" s="103"/>
      <c r="C16" s="5" t="s">
        <v>34</v>
      </c>
      <c r="D16" s="4" t="s">
        <v>547</v>
      </c>
      <c r="E16" s="4"/>
      <c r="F16" s="4"/>
      <c r="G16" s="4"/>
    </row>
    <row r="17" spans="2:7" x14ac:dyDescent="0.45">
      <c r="B17" s="102" t="s">
        <v>548</v>
      </c>
      <c r="C17" s="5" t="s">
        <v>549</v>
      </c>
      <c r="D17" s="4" t="s">
        <v>550</v>
      </c>
      <c r="E17" s="4"/>
      <c r="F17" s="4"/>
      <c r="G17" s="4"/>
    </row>
    <row r="18" spans="2:7" x14ac:dyDescent="0.45">
      <c r="B18" s="103"/>
      <c r="C18" s="5" t="s">
        <v>551</v>
      </c>
      <c r="D18" s="4" t="s">
        <v>552</v>
      </c>
      <c r="E18" s="4"/>
      <c r="F18" s="4"/>
      <c r="G18" s="4"/>
    </row>
    <row r="19" spans="2:7" x14ac:dyDescent="0.45">
      <c r="B19" s="103"/>
      <c r="C19" s="5" t="s">
        <v>553</v>
      </c>
      <c r="D19" s="4" t="s">
        <v>554</v>
      </c>
      <c r="E19" s="4"/>
      <c r="F19" s="4"/>
      <c r="G19" s="4"/>
    </row>
    <row r="20" spans="2:7" x14ac:dyDescent="0.45">
      <c r="B20" s="103"/>
      <c r="C20" s="5" t="s">
        <v>555</v>
      </c>
      <c r="D20" s="4" t="s">
        <v>556</v>
      </c>
      <c r="E20" s="4"/>
      <c r="F20" s="4"/>
      <c r="G20" s="4"/>
    </row>
    <row r="21" spans="2:7" x14ac:dyDescent="0.45">
      <c r="B21" s="104"/>
      <c r="C21" s="5" t="s">
        <v>557</v>
      </c>
      <c r="D21" s="4" t="s">
        <v>558</v>
      </c>
      <c r="E21" s="4"/>
      <c r="F21" s="4"/>
      <c r="G21" s="4"/>
    </row>
  </sheetData>
  <phoneticPr fontId="3" type="noConversion"/>
  <printOptions horizontalCentered="1"/>
  <pageMargins left="0.70866141732283472" right="0.70866141732283472" top="0.74803149606299213" bottom="0.74803149606299213" header="0.31496062992125984" footer="0.31496062992125984"/>
  <pageSetup paperSize="9" scale="81" fitToHeight="111" orientation="portrait" verticalDpi="0" r:id="rId1"/>
  <headerFooter>
    <oddFooter>&amp;L_x000D_&amp;1#&amp;"Calibri"&amp;9&amp;K000000 Confidential | AVIKUS – Unauthorized distribution is strictly prohibited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6A8A-5143-499A-AD03-03B662E67DA8}">
  <dimension ref="A1"/>
  <sheetViews>
    <sheetView workbookViewId="0"/>
  </sheetViews>
  <sheetFormatPr defaultRowHeight="17" x14ac:dyDescent="0.45"/>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FD90D0F94733F44B8E92DD98AE1F1581" ma:contentTypeVersion="24" ma:contentTypeDescription="새 문서를 만듭니다." ma:contentTypeScope="" ma:versionID="21c32b248e26295ead819f3427f63ac0">
  <xsd:schema xmlns:xsd="http://www.w3.org/2001/XMLSchema" xmlns:xs="http://www.w3.org/2001/XMLSchema" xmlns:p="http://schemas.microsoft.com/office/2006/metadata/properties" xmlns:ns2="24019410-d1d0-42fe-b6da-bfb21a3ee566" xmlns:ns3="f1fa6c51-b02d-4139-aafb-3ade645604da" targetNamespace="http://schemas.microsoft.com/office/2006/metadata/properties" ma:root="true" ma:fieldsID="a2283992dadd3e01520b55ff8751ebaf" ns2:_="" ns3:_="">
    <xsd:import namespace="24019410-d1d0-42fe-b6da-bfb21a3ee566"/>
    <xsd:import namespace="f1fa6c51-b02d-4139-aafb-3ade645604da"/>
    <xsd:element name="properties">
      <xsd:complexType>
        <xsd:sequence>
          <xsd:element name="documentManagement">
            <xsd:complexType>
              <xsd:all>
                <xsd:element ref="ns2:_Flow_SignoffStatus"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Thumbnail" minOccurs="0"/>
                <xsd:element ref="ns2:MediaServiceBillingMetadata" minOccurs="0"/>
                <xsd:element ref="ns2:AS_xc5c5__xccb4__xbe0c__xb85c__xc15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019410-d1d0-42fe-b6da-bfb21a3ee566" elementFormDefault="qualified">
    <xsd:import namespace="http://schemas.microsoft.com/office/2006/documentManagement/types"/>
    <xsd:import namespace="http://schemas.microsoft.com/office/infopath/2007/PartnerControls"/>
    <xsd:element name="_Flow_SignoffStatus" ma:index="8" nillable="true" ma:displayName="사인 오프 상태" ma:internalName="_xc0ac__xc778__x0020__xc624__xd504__x0020__xc0c1__xd0dc_">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이미지 태그" ma:readOnly="false" ma:fieldId="{5cf76f15-5ced-4ddc-b409-7134ff3c332f}" ma:taxonomyMulti="true" ma:sspId="f920a6b6-d301-4231-ae99-8c04d2adc0f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humbnail" ma:index="27" nillable="true" ma:displayName="Thumbnail" ma:format="Thumbnail" ma:internalName="Thumbnail">
      <xsd:simpleType>
        <xsd:restriction base="dms:Unknown"/>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AS_xc5c5__xccb4__xbe0c__xb85c__xc154_" ma:index="29" nillable="true" ma:displayName="AS 업체 브로셔 " ma:format="Dropdown" ma:internalName="AS_xc5c5__xccb4__xbe0c__xb85c__xc154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fa6c51-b02d-4139-aafb-3ade645604da" elementFormDefault="qualified">
    <xsd:import namespace="http://schemas.microsoft.com/office/2006/documentManagement/types"/>
    <xsd:import namespace="http://schemas.microsoft.com/office/infopath/2007/PartnerControls"/>
    <xsd:element name="SharedWithUsers" ma:index="2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세부 정보 공유" ma:internalName="SharedWithDetails" ma:readOnly="true">
      <xsd:simpleType>
        <xsd:restriction base="dms:Note">
          <xsd:maxLength value="255"/>
        </xsd:restriction>
      </xsd:simpleType>
    </xsd:element>
    <xsd:element name="TaxCatchAll" ma:index="24" nillable="true" ma:displayName="Taxonomy Catch All Column" ma:hidden="true" ma:list="{21d8a1fc-1978-48f3-8f74-297a766dc28d}" ma:internalName="TaxCatchAll" ma:showField="CatchAllData" ma:web="f1fa6c51-b02d-4139-aafb-3ade645604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019410-d1d0-42fe-b6da-bfb21a3ee566">
      <Terms xmlns="http://schemas.microsoft.com/office/infopath/2007/PartnerControls"/>
    </lcf76f155ced4ddcb4097134ff3c332f>
    <Thumbnail xmlns="24019410-d1d0-42fe-b6da-bfb21a3ee566" xsi:nil="true"/>
    <AS_xc5c5__xccb4__xbe0c__xb85c__xc154_ xmlns="24019410-d1d0-42fe-b6da-bfb21a3ee566" xsi:nil="true"/>
    <_Flow_SignoffStatus xmlns="24019410-d1d0-42fe-b6da-bfb21a3ee566" xsi:nil="true"/>
    <TaxCatchAll xmlns="f1fa6c51-b02d-4139-aafb-3ade645604da" xsi:nil="true"/>
  </documentManagement>
</p:properties>
</file>

<file path=customXml/itemProps1.xml><?xml version="1.0" encoding="utf-8"?>
<ds:datastoreItem xmlns:ds="http://schemas.openxmlformats.org/officeDocument/2006/customXml" ds:itemID="{16B0E53F-9D90-4AB9-8A66-225F4D4834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019410-d1d0-42fe-b6da-bfb21a3ee566"/>
    <ds:schemaRef ds:uri="f1fa6c51-b02d-4139-aafb-3ade645604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CD74DF-83B6-4A47-80C9-DEDD06725520}">
  <ds:schemaRefs>
    <ds:schemaRef ds:uri="http://schemas.microsoft.com/sharepoint/v3/contenttype/forms"/>
  </ds:schemaRefs>
</ds:datastoreItem>
</file>

<file path=customXml/itemProps3.xml><?xml version="1.0" encoding="utf-8"?>
<ds:datastoreItem xmlns:ds="http://schemas.openxmlformats.org/officeDocument/2006/customXml" ds:itemID="{D135BCFC-3384-4D23-8DF3-4B60E8B2F734}">
  <ds:schemaRefs>
    <ds:schemaRef ds:uri="http://schemas.microsoft.com/office/2006/metadata/properties"/>
    <ds:schemaRef ds:uri="http://schemas.microsoft.com/office/infopath/2007/PartnerControls"/>
    <ds:schemaRef ds:uri="24019410-d1d0-42fe-b6da-bfb21a3ee566"/>
    <ds:schemaRef ds:uri="f1fa6c51-b02d-4139-aafb-3ade645604da"/>
  </ds:schemaRefs>
</ds:datastoreItem>
</file>

<file path=docMetadata/LabelInfo.xml><?xml version="1.0" encoding="utf-8"?>
<clbl:labelList xmlns:clbl="http://schemas.microsoft.com/office/2020/mipLabelMetadata">
  <clbl:label id="{48141450-2387-4aca-b41f-19cd6be9dd3c}" enabled="1" method="Standard" siteId="{adf10e2b-b6e9-41d6-be2f-c12bb566019c}" removed="0"/>
  <clbl:label id="{bad320f5-2bb6-4079-b184-1296498dd694}" enabled="1" method="Privileged" siteId="{48c3cf2c-29be-407f-80f9-b5dc00c35cd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10</vt:i4>
      </vt:variant>
    </vt:vector>
  </HeadingPairs>
  <TitlesOfParts>
    <vt:vector size="21" baseType="lpstr">
      <vt:lpstr>파싱용</vt:lpstr>
      <vt:lpstr>BOM_(신조) HiNAS Nav</vt:lpstr>
      <vt:lpstr>BOM_(신조) HiNAS Nav DOM</vt:lpstr>
      <vt:lpstr>BOM_(신조) HiNAS Control</vt:lpstr>
      <vt:lpstr>BOM_(신조) HiNAS Con V2</vt:lpstr>
      <vt:lpstr>BOM_(신조) HiNAS SVM</vt:lpstr>
      <vt:lpstr>BOM_(개조) HiNAS Con SVM</vt:lpstr>
      <vt:lpstr>BOM_(개조) HiNAS Control</vt:lpstr>
      <vt:lpstr>자재리스트</vt:lpstr>
      <vt:lpstr>완제품리스트</vt:lpstr>
      <vt:lpstr>Sheet2</vt:lpstr>
      <vt:lpstr>'BOM_(개조) HiNAS Con SVM'!Print_Area</vt:lpstr>
      <vt:lpstr>'BOM_(개조) HiNAS Control'!Print_Area</vt:lpstr>
      <vt:lpstr>'BOM_(신조) HiNAS Con V2'!Print_Area</vt:lpstr>
      <vt:lpstr>'BOM_(신조) HiNAS Control'!Print_Area</vt:lpstr>
      <vt:lpstr>'BOM_(신조) HiNAS Nav'!Print_Area</vt:lpstr>
      <vt:lpstr>'BOM_(신조) HiNAS Nav DOM'!Print_Area</vt:lpstr>
      <vt:lpstr>'BOM_(신조) HiNAS SVM'!Print_Area</vt:lpstr>
      <vt:lpstr>완제품리스트!Print_Area</vt:lpstr>
      <vt:lpstr>자재리스트!Print_Area</vt:lpstr>
      <vt:lpstr>자재리스트!Print_Titles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Chong, Sang Ok</dc:creator>
  <cp:lastModifiedBy>Seunghyun Woo(우승현)</cp:lastModifiedBy>
  <dcterms:created xsi:type="dcterms:W3CDTF">2025-12-09T08:43:20Z</dcterms:created>
  <dcterms:modified xsi:type="dcterms:W3CDTF">2026-06-07T06:56:19Z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0x010100FD90D0F94733F44B8E92DD98AE1F1581</vt:lpwstr>
  </property>
</Properties>
</file>