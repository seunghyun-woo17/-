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unghyunwoo\Downloads\"/>
    </mc:Choice>
  </mc:AlternateContent>
  <xr:revisionPtr revIDLastSave="0" documentId="13_ncr:1_{C61424AA-1B01-437B-A77B-92072FF3D693}" xr6:coauthVersionLast="47" xr6:coauthVersionMax="47" xr10:uidLastSave="{00000000-0000-0000-0000-000000000000}"/>
  <bookViews>
    <workbookView xWindow="38280" yWindow="3780" windowWidth="29040" windowHeight="15720" activeTab="1" xr2:uid="{802BD232-D3FC-4004-B4DA-41CA4DAD4F5A}"/>
  </bookViews>
  <sheets>
    <sheet name="ABS" sheetId="1" r:id="rId1"/>
    <sheet name="Comments" sheetId="2" r:id="rId2"/>
    <sheet name="Comment Master" sheetId="3" r:id="rId3"/>
  </sheets>
  <definedNames>
    <definedName name="CommentList">CommentMaster[표시]</definedName>
    <definedName name="_xlnm.Print_Area" localSheetId="0">ABS!$A$1:$M$21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5" i="1"/>
  <c r="K6" i="1"/>
  <c r="K7" i="1"/>
  <c r="K8" i="1"/>
  <c r="K9" i="1"/>
  <c r="K10" i="1"/>
  <c r="K11" i="1"/>
  <c r="K12" i="1"/>
  <c r="K13" i="1"/>
  <c r="K14" i="1"/>
  <c r="K15" i="1"/>
  <c r="K16" i="1"/>
  <c r="K17" i="1"/>
  <c r="K5" i="1"/>
  <c r="H47" i="2" l="1"/>
  <c r="H45" i="2"/>
  <c r="H43" i="2"/>
  <c r="H38" i="2"/>
  <c r="H33" i="2"/>
  <c r="H28" i="2"/>
  <c r="H22" i="2"/>
  <c r="H17" i="2"/>
  <c r="H12" i="2"/>
  <c r="H8" i="2"/>
  <c r="H6" i="2"/>
  <c r="H2" i="2"/>
  <c r="E18" i="3"/>
  <c r="E17" i="3"/>
  <c r="E26" i="3"/>
  <c r="E25" i="3"/>
  <c r="E24" i="3"/>
  <c r="E23" i="3"/>
  <c r="E22" i="3"/>
  <c r="E19" i="3"/>
  <c r="E21" i="3"/>
  <c r="E20" i="3"/>
  <c r="E16" i="3"/>
  <c r="E15" i="3"/>
  <c r="E14" i="3"/>
  <c r="E13" i="3"/>
  <c r="E12" i="3"/>
  <c r="E11" i="3"/>
  <c r="E10" i="3"/>
  <c r="E9" i="3"/>
  <c r="E8" i="3"/>
  <c r="E7" i="3"/>
  <c r="E2" i="3"/>
  <c r="E3" i="3"/>
  <c r="E4" i="3"/>
  <c r="E5" i="3"/>
  <c r="E6" i="3"/>
</calcChain>
</file>

<file path=xl/sharedStrings.xml><?xml version="1.0" encoding="utf-8"?>
<sst xmlns="http://schemas.openxmlformats.org/spreadsheetml/2006/main" count="301" uniqueCount="143">
  <si>
    <t>HHI</t>
    <phoneticPr fontId="1" type="noConversion"/>
  </si>
  <si>
    <t>LIBERIA</t>
    <phoneticPr fontId="1" type="noConversion"/>
  </si>
  <si>
    <t>Avikus D/L</t>
    <phoneticPr fontId="1" type="noConversion"/>
  </si>
  <si>
    <t>Product</t>
    <phoneticPr fontId="1" type="noConversion"/>
  </si>
  <si>
    <t>Flag</t>
    <phoneticPr fontId="1" type="noConversion"/>
  </si>
  <si>
    <t>Yard</t>
    <phoneticPr fontId="1" type="noConversion"/>
  </si>
  <si>
    <t>HMD</t>
    <phoneticPr fontId="1" type="noConversion"/>
  </si>
  <si>
    <t>PANAMA</t>
    <phoneticPr fontId="1" type="noConversion"/>
  </si>
  <si>
    <t>MARSHALL</t>
    <phoneticPr fontId="1" type="noConversion"/>
  </si>
  <si>
    <t>S/N</t>
    <phoneticPr fontId="1" type="noConversion"/>
  </si>
  <si>
    <t>Status of Product Delivery(ABS)</t>
    <phoneticPr fontId="1" type="noConversion"/>
  </si>
  <si>
    <t>Control/DOM</t>
    <phoneticPr fontId="1" type="noConversion"/>
  </si>
  <si>
    <t>FAT Date</t>
    <phoneticPr fontId="1" type="noConversion"/>
  </si>
  <si>
    <t>CAPITAL</t>
    <phoneticPr fontId="1" type="noConversion"/>
  </si>
  <si>
    <t>J001</t>
    <phoneticPr fontId="1" type="noConversion"/>
  </si>
  <si>
    <t>J002</t>
    <phoneticPr fontId="1" type="noConversion"/>
  </si>
  <si>
    <t>Inspector</t>
    <phoneticPr fontId="1" type="noConversion"/>
  </si>
  <si>
    <t>junkim@eagle.org</t>
  </si>
  <si>
    <t>kschang@eagle.org</t>
  </si>
  <si>
    <t>KSChang@eagle.org</t>
  </si>
  <si>
    <t>jejeong@eagle.or</t>
    <phoneticPr fontId="1" type="noConversion"/>
  </si>
  <si>
    <t>yna@eagle.org</t>
  </si>
  <si>
    <t>FAT 진행하지 않음</t>
    <phoneticPr fontId="1" type="noConversion"/>
  </si>
  <si>
    <t>FAT 진행완료</t>
    <phoneticPr fontId="1" type="noConversion"/>
  </si>
  <si>
    <t>호선</t>
  </si>
  <si>
    <t>호선</t>
    <phoneticPr fontId="1" type="noConversion"/>
  </si>
  <si>
    <t>FAT 상태</t>
  </si>
  <si>
    <t>Comment 내용</t>
  </si>
  <si>
    <t>상태</t>
  </si>
  <si>
    <t>담당자</t>
  </si>
  <si>
    <t>등록일</t>
  </si>
  <si>
    <t>완료일</t>
  </si>
  <si>
    <t>비고</t>
  </si>
  <si>
    <t>J001</t>
  </si>
  <si>
    <t>J002</t>
  </si>
  <si>
    <t>Comment 진행</t>
  </si>
  <si>
    <t>완료율</t>
  </si>
  <si>
    <t>진행률</t>
  </si>
  <si>
    <t>▼ 3495호선 Comments</t>
  </si>
  <si>
    <t>▼ 3510호선 Comments</t>
  </si>
  <si>
    <t>▼ 8265호선 Comments</t>
  </si>
  <si>
    <t>▼ 3531호선 Comments</t>
  </si>
  <si>
    <t>▼ 3532호선 Comments</t>
  </si>
  <si>
    <t>▼ 2946호선 Comments</t>
  </si>
  <si>
    <t>▼ 8441호선 Comments</t>
  </si>
  <si>
    <t>▼ 4300호선 Comments</t>
  </si>
  <si>
    <t>▼ 4299호선 Comments</t>
  </si>
  <si>
    <t>▼ J001호선 Comments</t>
  </si>
  <si>
    <t>▼ J002호선 Comments</t>
  </si>
  <si>
    <t>코드</t>
  </si>
  <si>
    <t>카테고리</t>
  </si>
  <si>
    <t>표시</t>
  </si>
  <si>
    <t>ELEC-0119</t>
    <phoneticPr fontId="1" type="noConversion"/>
  </si>
  <si>
    <t>ELEC-0120</t>
    <phoneticPr fontId="1" type="noConversion"/>
  </si>
  <si>
    <t>ELEC-0121</t>
    <phoneticPr fontId="1" type="noConversion"/>
  </si>
  <si>
    <t>ELEC-0122</t>
    <phoneticPr fontId="1" type="noConversion"/>
  </si>
  <si>
    <t>4299~4304, 4309</t>
    <phoneticPr fontId="1" type="noConversion"/>
  </si>
  <si>
    <t>ELEC-0336</t>
    <phoneticPr fontId="1" type="noConversion"/>
  </si>
  <si>
    <t>3493~3495</t>
    <phoneticPr fontId="1" type="noConversion"/>
  </si>
  <si>
    <t>ELEC-0337</t>
    <phoneticPr fontId="1" type="noConversion"/>
  </si>
  <si>
    <t>ELEC-0338</t>
    <phoneticPr fontId="1" type="noConversion"/>
  </si>
  <si>
    <t>FAT 진행하지 않음</t>
  </si>
  <si>
    <t>ELEC-0211</t>
    <phoneticPr fontId="1" type="noConversion"/>
  </si>
  <si>
    <t>3509~3510</t>
    <phoneticPr fontId="1" type="noConversion"/>
  </si>
  <si>
    <t>ELEC-0169</t>
    <phoneticPr fontId="1" type="noConversion"/>
  </si>
  <si>
    <t>ELEC-0170</t>
    <phoneticPr fontId="1" type="noConversion"/>
  </si>
  <si>
    <t>ELEC-0171</t>
    <phoneticPr fontId="1" type="noConversion"/>
  </si>
  <si>
    <t>8264~8273</t>
    <phoneticPr fontId="1" type="noConversion"/>
  </si>
  <si>
    <t>ELEC-0130</t>
    <phoneticPr fontId="1" type="noConversion"/>
  </si>
  <si>
    <t>ELEC-0131</t>
    <phoneticPr fontId="1" type="noConversion"/>
  </si>
  <si>
    <t>ELEC-0132</t>
    <phoneticPr fontId="1" type="noConversion"/>
  </si>
  <si>
    <t>ELEC-0133</t>
    <phoneticPr fontId="1" type="noConversion"/>
  </si>
  <si>
    <t>3531~3532</t>
    <phoneticPr fontId="1" type="noConversion"/>
  </si>
  <si>
    <t>ELEC-0172</t>
    <phoneticPr fontId="1" type="noConversion"/>
  </si>
  <si>
    <t>ELEC-0173</t>
    <phoneticPr fontId="1" type="noConversion"/>
  </si>
  <si>
    <t>ELEC-0174</t>
    <phoneticPr fontId="1" type="noConversion"/>
  </si>
  <si>
    <t>8264~8273, 2943, 2944, 2946, S597</t>
    <phoneticPr fontId="1" type="noConversion"/>
  </si>
  <si>
    <t>2943, 2944, 2946, S597</t>
  </si>
  <si>
    <t>ELEC-0250</t>
    <phoneticPr fontId="1" type="noConversion"/>
  </si>
  <si>
    <t>ELEC-0251</t>
    <phoneticPr fontId="1" type="noConversion"/>
  </si>
  <si>
    <t>ELEC-0252</t>
  </si>
  <si>
    <t>ELEC-0253</t>
  </si>
  <si>
    <t>8440, 8441</t>
    <phoneticPr fontId="1" type="noConversion"/>
  </si>
  <si>
    <t>ELEC-0101</t>
    <phoneticPr fontId="1" type="noConversion"/>
  </si>
  <si>
    <t>J001~J004</t>
    <phoneticPr fontId="1" type="noConversion"/>
  </si>
  <si>
    <t>Control</t>
    <phoneticPr fontId="1" type="noConversion"/>
  </si>
  <si>
    <t>비고</t>
    <phoneticPr fontId="1" type="noConversion"/>
  </si>
  <si>
    <t>설계 미승인으로 미신청</t>
    <phoneticPr fontId="1" type="noConversion"/>
  </si>
  <si>
    <t>▼ 3469호선 Comments</t>
    <phoneticPr fontId="1" type="noConversion"/>
  </si>
  <si>
    <t xml:space="preserve"> IACS UR E27 related to cyber resilience requirements 문서 일치 확인</t>
    <phoneticPr fontId="1" type="noConversion"/>
  </si>
  <si>
    <t xml:space="preserve">S/T or OBT Surveyor 참석 </t>
    <phoneticPr fontId="1" type="noConversion"/>
  </si>
  <si>
    <t xml:space="preserve">S/T or OBTpower fail test </t>
    <phoneticPr fontId="1" type="noConversion"/>
  </si>
  <si>
    <t xml:space="preserve">OBT, S/T, FAT 결과물 Flag 제출 </t>
    <phoneticPr fontId="1" type="noConversion"/>
  </si>
  <si>
    <t>Surveyor</t>
    <phoneticPr fontId="1" type="noConversion"/>
  </si>
  <si>
    <t>Techincal</t>
    <phoneticPr fontId="1" type="noConversion"/>
  </si>
  <si>
    <t xml:space="preserve">HiNAS Control 도면 제공 </t>
    <phoneticPr fontId="1" type="noConversion"/>
  </si>
  <si>
    <t>OBT, S/T, FAT 결과물 Flag 제출 for 3531,3532</t>
    <phoneticPr fontId="1" type="noConversion"/>
  </si>
  <si>
    <t>OBT, S/T, FAT 결과물 Flag 제출 for 3503, 3504</t>
    <phoneticPr fontId="1" type="noConversion"/>
  </si>
  <si>
    <t>문서 제출 요청(Quality Plan, System description, Management of proedure)</t>
    <phoneticPr fontId="1" type="noConversion"/>
  </si>
  <si>
    <t>문서 제출 요청(CBS Inventory,Topology diagram)</t>
    <phoneticPr fontId="1" type="noConversion"/>
  </si>
  <si>
    <t>문서 제출 요청(FAT)</t>
    <phoneticPr fontId="1" type="noConversion"/>
  </si>
  <si>
    <t xml:space="preserve">ELEC-0336 / S/T or OBT Surveyor 참석 </t>
  </si>
  <si>
    <t xml:space="preserve">ELEC-0337 / S/T or OBTpower fail test </t>
  </si>
  <si>
    <t xml:space="preserve">ELEC-0338 / OBT, S/T, FAT 결과물 Flag 제출 </t>
  </si>
  <si>
    <t xml:space="preserve">ELEC-0211 / S/T or OBT Surveyor 참석 </t>
  </si>
  <si>
    <t xml:space="preserve">ELEC-0169 / OBT, S/T, FAT 결과물 Flag 제출 </t>
  </si>
  <si>
    <t xml:space="preserve">ELEC-0170 / S/T or OBT Surveyor 참석 </t>
  </si>
  <si>
    <t xml:space="preserve">ELEC-0171 / HiNAS Control 도면 제공 </t>
  </si>
  <si>
    <t xml:space="preserve">ELEC-0130 / S/T or OBT Surveyor 참석 </t>
  </si>
  <si>
    <t>ELEC-0131 / OBT, S/T, FAT 결과물 Flag 제출 for 3531,3532</t>
  </si>
  <si>
    <t>ELEC-0132 / OBT, S/T, FAT 결과물 Flag 제출 for 3503, 3504</t>
  </si>
  <si>
    <t>ELEC-0133 /  IACS UR E27 related to cyber resilience requirements 문서 일치 확인</t>
  </si>
  <si>
    <t>ELEC-0172 / 문서 제출 요청(FAT)</t>
  </si>
  <si>
    <t>ELEC-0170 / 문서 제출 요청(Quality Plan, System description, Management of proedure)</t>
  </si>
  <si>
    <t>ELEC-0171 / 문서 제출 요청(CBS Inventory,Topology diagram)</t>
  </si>
  <si>
    <t xml:space="preserve">ELEC-0173 / OBT, S/T, FAT 결과물 Flag 제출 </t>
  </si>
  <si>
    <t xml:space="preserve">ELEC-0174 / S/T or OBT Surveyor 참석 </t>
  </si>
  <si>
    <t>ELEC-0250 /  IACS UR E27 related to cyber resilience requirements 문서 일치 확인</t>
  </si>
  <si>
    <t xml:space="preserve">ELEC-0251 / S/T or OBTpower fail test </t>
  </si>
  <si>
    <t xml:space="preserve">ELEC-0252 / OBT, S/T, FAT 결과물 Flag 제출 </t>
  </si>
  <si>
    <t xml:space="preserve">ELEC-0253 / S/T or OBT Surveyor 참석 </t>
  </si>
  <si>
    <t>ELEC-0119 /  IACS UR E27 related to cyber resilience requirements 문서 일치 확인</t>
  </si>
  <si>
    <t xml:space="preserve">ELEC-0120 / S/T or OBT Surveyor 참석 </t>
  </si>
  <si>
    <t xml:space="preserve">ELEC-0121 / S/T or OBTpower fail test </t>
  </si>
  <si>
    <t xml:space="preserve">ELEC-0122 / OBT, S/T, FAT 결과물 Flag 제출 </t>
  </si>
  <si>
    <t xml:space="preserve">ELEC-0101 / S/T or OBT Surveyor 참석 </t>
  </si>
  <si>
    <t>완료</t>
  </si>
  <si>
    <t>진행중</t>
  </si>
  <si>
    <t>엄선준</t>
    <phoneticPr fontId="1" type="noConversion"/>
  </si>
  <si>
    <t>26.05.18</t>
    <phoneticPr fontId="1" type="noConversion"/>
  </si>
  <si>
    <t>ABS에게 문서 제출 예정</t>
    <phoneticPr fontId="1" type="noConversion"/>
  </si>
  <si>
    <t>OBT 전</t>
  </si>
  <si>
    <t>OBT 11/10 예정</t>
    <phoneticPr fontId="1" type="noConversion"/>
  </si>
  <si>
    <t>ABS Reply로 closed</t>
    <phoneticPr fontId="1" type="noConversion"/>
  </si>
  <si>
    <t>최상덕</t>
    <phoneticPr fontId="1" type="noConversion"/>
  </si>
  <si>
    <t>메일 전송 완료</t>
    <phoneticPr fontId="1" type="noConversion"/>
  </si>
  <si>
    <t>26.04.21</t>
    <phoneticPr fontId="1" type="noConversion"/>
  </si>
  <si>
    <t>우승현</t>
    <phoneticPr fontId="1" type="noConversion"/>
  </si>
  <si>
    <t>26.04.28</t>
    <phoneticPr fontId="1" type="noConversion"/>
  </si>
  <si>
    <t>정상욱</t>
    <phoneticPr fontId="1" type="noConversion"/>
  </si>
  <si>
    <t xml:space="preserve">OBT 문서 Power Fail Test </t>
    <phoneticPr fontId="1" type="noConversion"/>
  </si>
  <si>
    <t>-</t>
    <phoneticPr fontId="1" type="noConversion"/>
  </si>
  <si>
    <t>HSHI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</si>
</sst>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&quot;-&quot;mmm&quot;-&quot;yy;@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0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1" xfId="0" applyFill="1" applyBorder="1">
      <alignment vertical="center"/>
    </xf>
    <xf numFmtId="0" fontId="3" fillId="0" borderId="1" xfId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</cellXfs>
  <cellStyles count="2">
    <cellStyle name="표준" xfId="0" builtinId="0"/>
    <cellStyle name="표준 2" xfId="1" xr:uid="{23C0EFBD-E0E4-4D16-825F-8A679E613795}"/>
  </cellStyles>
  <dxfs count="20"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1F3864"/>
      </font>
      <fill>
        <patternFill patternType="solid">
          <fgColor indexed="64"/>
          <bgColor rgb="FFBDD7E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7F3F00"/>
      </font>
      <fill>
        <patternFill patternType="solid">
          <fgColor indexed="64"/>
          <bgColor rgb="FFFFC000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1F3864"/>
      </font>
      <fill>
        <patternFill patternType="solid">
          <fgColor indexed="64"/>
          <bgColor rgb="FFBDD7E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2"/>
        <charset val="129"/>
        <scheme val="minor"/>
      </font>
      <fill>
        <patternFill patternType="solid">
          <fgColor indexed="64"/>
          <bgColor rgb="FF305496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23</xdr:row>
      <xdr:rowOff>161924</xdr:rowOff>
    </xdr:from>
    <xdr:to>
      <xdr:col>12</xdr:col>
      <xdr:colOff>254000</xdr:colOff>
      <xdr:row>26</xdr:row>
      <xdr:rowOff>209549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E48832-C819-41A0-8B63-5A7E84BB59B4}"/>
            </a:ext>
          </a:extLst>
        </xdr:cNvPr>
        <xdr:cNvSpPr txBox="1"/>
      </xdr:nvSpPr>
      <xdr:spPr>
        <a:xfrm>
          <a:off x="9105900" y="5524499"/>
          <a:ext cx="4864100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/>
            <a:t>PDA : No.</a:t>
          </a:r>
          <a:r>
            <a:rPr lang="en-US" altLang="ko-KR" sz="1400" b="1" baseline="0"/>
            <a:t> 25-0345955-1-PDA</a:t>
          </a:r>
        </a:p>
        <a:p>
          <a:r>
            <a:rPr lang="en-US" altLang="ko-KR" sz="1400" b="1" baseline="0"/>
            <a:t>Ref No. VD2600422</a:t>
          </a:r>
          <a:endParaRPr lang="ko-KR" altLang="en-US" sz="14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3C86A6-A5D8-4C6A-8CDC-D00C51199638}" name="CommentMaster" displayName="CommentMaster" ref="A1:E26" totalsRowShown="0" headerRowDxfId="19">
  <autoFilter ref="A1:E26" xr:uid="{143C86A6-A5D8-4C6A-8CDC-D00C51199638}"/>
  <tableColumns count="5">
    <tableColumn id="1" xr3:uid="{02FDEE93-46D5-4964-ACF5-B8958FB34F1F}" name="코드" dataDxfId="18"/>
    <tableColumn id="2" xr3:uid="{2C54ACBF-C73B-452E-AC05-DD8A46ECD776}" name="Comment 내용"/>
    <tableColumn id="3" xr3:uid="{E2458F5E-3ADD-460D-A6E6-3F77B24749EF}" name="카테고리" dataDxfId="17"/>
    <tableColumn id="4" xr3:uid="{850A9A0F-8D7E-46F4-ACF7-4172215C38CA}" name="비고" dataDxfId="16"/>
    <tableColumn id="5" xr3:uid="{694C4B04-924E-4C1E-B8EC-38F31CE40D48}" name="표시">
      <calculatedColumnFormula>CommentMaster[[#This Row],[코드]] &amp; " / " &amp; CommentMaster[[#This Row],[Comment 내용]]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5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3559FD-960A-4A25-BE51-C5971016AE6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73d8b4c-ec97-4844-8e2f-222de36ddd1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ejeong@eagle.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EACD-1842-4C4B-9BD2-E223FAEC9E57}">
  <sheetPr>
    <pageSetUpPr fitToPage="1"/>
  </sheetPr>
  <dimension ref="A2:M17"/>
  <sheetViews>
    <sheetView view="pageBreakPreview" zoomScaleNormal="100" zoomScaleSheetLayoutView="100" workbookViewId="0">
      <selection activeCell="P12" sqref="P12"/>
    </sheetView>
  </sheetViews>
  <sheetFormatPr defaultRowHeight="17" x14ac:dyDescent="0.45"/>
  <cols>
    <col min="1" max="1" width="5.58203125" customWidth="1"/>
    <col min="3" max="3" width="14.83203125" customWidth="1"/>
    <col min="4" max="4" width="9.83203125" bestFit="1" customWidth="1"/>
    <col min="5" max="5" width="10.83203125" customWidth="1"/>
    <col min="7" max="7" width="17.58203125" bestFit="1" customWidth="1"/>
    <col min="8" max="8" width="13.08203125" customWidth="1"/>
    <col min="9" max="9" width="9.75" style="1" bestFit="1" customWidth="1"/>
    <col min="10" max="10" width="23.33203125" customWidth="1"/>
    <col min="11" max="11" width="16.6640625" customWidth="1"/>
    <col min="12" max="12" width="11.6640625" customWidth="1"/>
    <col min="13" max="13" width="28.6640625" customWidth="1"/>
  </cols>
  <sheetData>
    <row r="2" spans="1:13" ht="25.5" x14ac:dyDescent="0.45">
      <c r="B2" s="10" t="s">
        <v>10</v>
      </c>
      <c r="C2" s="10"/>
      <c r="D2" s="10"/>
      <c r="E2" s="10"/>
      <c r="F2" s="10"/>
      <c r="G2" s="10"/>
      <c r="H2" s="10"/>
      <c r="I2" s="10"/>
      <c r="J2" s="10"/>
    </row>
    <row r="4" spans="1:13" ht="17.149999999999999" customHeight="1" x14ac:dyDescent="0.45">
      <c r="A4" s="2"/>
      <c r="B4" s="3" t="s">
        <v>25</v>
      </c>
      <c r="C4" s="3" t="s">
        <v>3</v>
      </c>
      <c r="D4" s="3" t="s">
        <v>12</v>
      </c>
      <c r="E4" s="3" t="s">
        <v>4</v>
      </c>
      <c r="F4" s="3" t="s">
        <v>5</v>
      </c>
      <c r="G4" s="3" t="s">
        <v>16</v>
      </c>
      <c r="H4" s="3" t="s">
        <v>2</v>
      </c>
      <c r="I4" s="4" t="s">
        <v>9</v>
      </c>
      <c r="J4" s="15" t="s">
        <v>26</v>
      </c>
      <c r="K4" s="12" t="s">
        <v>35</v>
      </c>
      <c r="L4" s="12" t="s">
        <v>36</v>
      </c>
      <c r="M4" s="12" t="s">
        <v>86</v>
      </c>
    </row>
    <row r="5" spans="1:13" ht="17.149999999999999" customHeight="1" x14ac:dyDescent="0.45">
      <c r="A5" s="2">
        <v>1</v>
      </c>
      <c r="B5" s="5">
        <v>3449</v>
      </c>
      <c r="C5" s="5" t="s">
        <v>11</v>
      </c>
      <c r="D5" s="9">
        <v>46014</v>
      </c>
      <c r="E5" s="6" t="s">
        <v>1</v>
      </c>
      <c r="F5" s="4" t="s">
        <v>0</v>
      </c>
      <c r="G5" s="7" t="s">
        <v>141</v>
      </c>
      <c r="H5" s="8"/>
      <c r="I5" s="4"/>
      <c r="J5" s="16" t="s">
        <v>22</v>
      </c>
      <c r="K5" s="3" t="str">
        <f>COUNTIFS(Comments!$A:$A,B5,Comments!$C:$C,"완료") &amp; " / " &amp; COUNTIFS(Comments!$A:$A,B5,Comments!$B:$B,"&lt;&gt;")</f>
        <v>0 / 0</v>
      </c>
      <c r="L5" s="17">
        <f>IFERROR(COUNTIFS(Comments!$A:$A,B5,Comments!$C:$C,"완료")/COUNTIFS(Comments!$A:$A,B5,Comments!$B:$B,"&lt;&gt;"),0)</f>
        <v>0</v>
      </c>
      <c r="M5" s="2"/>
    </row>
    <row r="6" spans="1:13" ht="17.149999999999999" customHeight="1" x14ac:dyDescent="0.45">
      <c r="A6" s="2">
        <v>2</v>
      </c>
      <c r="B6" s="5">
        <v>3495</v>
      </c>
      <c r="C6" s="5" t="s">
        <v>11</v>
      </c>
      <c r="D6" s="9">
        <v>46014</v>
      </c>
      <c r="E6" s="6" t="s">
        <v>8</v>
      </c>
      <c r="F6" s="6" t="s">
        <v>0</v>
      </c>
      <c r="G6" s="7" t="s">
        <v>20</v>
      </c>
      <c r="H6" s="8"/>
      <c r="I6" s="4"/>
      <c r="J6" s="16" t="s">
        <v>23</v>
      </c>
      <c r="K6" s="3" t="str">
        <f>COUNTIFS(Comments!$A:$A,B6,Comments!$C:$C,"완료") &amp; " / " &amp; COUNTIFS(Comments!$A:$A,B6,Comments!$B:$B,"&lt;&gt;")</f>
        <v>2 / 4</v>
      </c>
      <c r="L6" s="17">
        <f>IFERROR(COUNTIFS(Comments!$A:$A,B6,Comments!$C:$C,"완료")/COUNTIFS(Comments!$A:$A,B6,Comments!$B:$B,"&lt;&gt;"),0)</f>
        <v>0.5</v>
      </c>
      <c r="M6" s="2"/>
    </row>
    <row r="7" spans="1:13" ht="17.149999999999999" customHeight="1" x14ac:dyDescent="0.45">
      <c r="A7" s="2">
        <v>3</v>
      </c>
      <c r="B7" s="5">
        <v>3510</v>
      </c>
      <c r="C7" s="5" t="s">
        <v>11</v>
      </c>
      <c r="D7" s="9">
        <v>46058</v>
      </c>
      <c r="E7" s="6" t="s">
        <v>8</v>
      </c>
      <c r="F7" s="6" t="s">
        <v>0</v>
      </c>
      <c r="G7" s="7" t="s">
        <v>19</v>
      </c>
      <c r="H7" s="8"/>
      <c r="I7" s="4"/>
      <c r="J7" s="16" t="s">
        <v>23</v>
      </c>
      <c r="K7" s="3" t="str">
        <f>COUNTIFS(Comments!$A:$A,B7,Comments!$C:$C,"완료") &amp; " / " &amp; COUNTIFS(Comments!$A:$A,B7,Comments!$B:$B,"&lt;&gt;")</f>
        <v>0 / 2</v>
      </c>
      <c r="L7" s="17">
        <f>IFERROR(COUNTIFS(Comments!$A:$A,B7,Comments!$C:$C,"완료")/COUNTIFS(Comments!$A:$A,B7,Comments!$B:$B,"&lt;&gt;"),0)</f>
        <v>0</v>
      </c>
      <c r="M7" s="2"/>
    </row>
    <row r="8" spans="1:13" ht="17.149999999999999" customHeight="1" x14ac:dyDescent="0.45">
      <c r="A8" s="2">
        <v>4</v>
      </c>
      <c r="B8" s="5">
        <v>8265</v>
      </c>
      <c r="C8" s="5" t="s">
        <v>11</v>
      </c>
      <c r="D8" s="9">
        <v>46058</v>
      </c>
      <c r="E8" s="6" t="s">
        <v>8</v>
      </c>
      <c r="F8" s="6" t="s">
        <v>142</v>
      </c>
      <c r="G8" s="7" t="s">
        <v>19</v>
      </c>
      <c r="H8" s="8"/>
      <c r="I8" s="4"/>
      <c r="J8" s="16" t="s">
        <v>23</v>
      </c>
      <c r="K8" s="3" t="str">
        <f>COUNTIFS(Comments!$A:$A,B8,Comments!$C:$C,"완료") &amp; " / " &amp; COUNTIFS(Comments!$A:$A,B8,Comments!$B:$B,"&lt;&gt;")</f>
        <v>1 / 4</v>
      </c>
      <c r="L8" s="17">
        <f>IFERROR(COUNTIFS(Comments!$A:$A,B8,Comments!$C:$C,"완료")/COUNTIFS(Comments!$A:$A,B8,Comments!$B:$B,"&lt;&gt;"),0)</f>
        <v>0.25</v>
      </c>
      <c r="M8" s="2"/>
    </row>
    <row r="9" spans="1:13" ht="17.149999999999999" customHeight="1" x14ac:dyDescent="0.45">
      <c r="A9" s="2">
        <v>5</v>
      </c>
      <c r="B9" s="5">
        <v>3531</v>
      </c>
      <c r="C9" s="5" t="s">
        <v>11</v>
      </c>
      <c r="D9" s="9">
        <v>46133</v>
      </c>
      <c r="E9" s="6" t="s">
        <v>8</v>
      </c>
      <c r="F9" s="6" t="s">
        <v>0</v>
      </c>
      <c r="G9" s="7" t="s">
        <v>17</v>
      </c>
      <c r="H9" s="8"/>
      <c r="I9" s="4"/>
      <c r="J9" s="16" t="s">
        <v>23</v>
      </c>
      <c r="K9" s="3" t="str">
        <f>COUNTIFS(Comments!$A:$A,B9,Comments!$C:$C,"완료") &amp; " / " &amp; COUNTIFS(Comments!$A:$A,B9,Comments!$B:$B,"&lt;&gt;")</f>
        <v>1 / 5</v>
      </c>
      <c r="L9" s="17">
        <f>IFERROR(COUNTIFS(Comments!$A:$A,B9,Comments!$C:$C,"완료")/COUNTIFS(Comments!$A:$A,B9,Comments!$B:$B,"&lt;&gt;"),0)</f>
        <v>0.2</v>
      </c>
      <c r="M9" s="2"/>
    </row>
    <row r="10" spans="1:13" ht="17.149999999999999" customHeight="1" x14ac:dyDescent="0.45">
      <c r="A10" s="2">
        <v>6</v>
      </c>
      <c r="B10" s="5">
        <v>3532</v>
      </c>
      <c r="C10" s="5" t="s">
        <v>11</v>
      </c>
      <c r="D10" s="9">
        <v>46133</v>
      </c>
      <c r="E10" s="6" t="s">
        <v>8</v>
      </c>
      <c r="F10" s="6" t="s">
        <v>0</v>
      </c>
      <c r="G10" s="7" t="s">
        <v>17</v>
      </c>
      <c r="H10" s="8"/>
      <c r="I10" s="4"/>
      <c r="J10" s="16" t="s">
        <v>23</v>
      </c>
      <c r="K10" s="3" t="str">
        <f>COUNTIFS(Comments!$A:$A,B10,Comments!$C:$C,"완료") &amp; " / " &amp; COUNTIFS(Comments!$A:$A,B10,Comments!$B:$B,"&lt;&gt;")</f>
        <v>1 / 5</v>
      </c>
      <c r="L10" s="17">
        <f>IFERROR(COUNTIFS(Comments!$A:$A,B10,Comments!$C:$C,"완료")/COUNTIFS(Comments!$A:$A,B10,Comments!$B:$B,"&lt;&gt;"),0)</f>
        <v>0.2</v>
      </c>
      <c r="M10" s="2"/>
    </row>
    <row r="11" spans="1:13" ht="17.149999999999999" customHeight="1" x14ac:dyDescent="0.45">
      <c r="A11" s="2">
        <v>7</v>
      </c>
      <c r="B11" s="5">
        <v>2946</v>
      </c>
      <c r="C11" s="5" t="s">
        <v>11</v>
      </c>
      <c r="D11" s="9">
        <v>46134</v>
      </c>
      <c r="E11" s="6" t="s">
        <v>1</v>
      </c>
      <c r="F11" s="6" t="s">
        <v>6</v>
      </c>
      <c r="G11" s="7" t="s">
        <v>17</v>
      </c>
      <c r="H11" s="8"/>
      <c r="I11" s="4"/>
      <c r="J11" s="16" t="s">
        <v>23</v>
      </c>
      <c r="K11" s="3" t="str">
        <f>COUNTIFS(Comments!$A:$A,B11,Comments!$C:$C,"완료") &amp; " / " &amp; COUNTIFS(Comments!$A:$A,B11,Comments!$B:$B,"&lt;&gt;")</f>
        <v>1 / 6</v>
      </c>
      <c r="L11" s="17">
        <f>IFERROR(COUNTIFS(Comments!$A:$A,B11,Comments!$C:$C,"완료")/COUNTIFS(Comments!$A:$A,B11,Comments!$B:$B,"&lt;&gt;"),0)</f>
        <v>0.16666666666666666</v>
      </c>
      <c r="M11" s="2"/>
    </row>
    <row r="12" spans="1:13" ht="17.149999999999999" customHeight="1" x14ac:dyDescent="0.45">
      <c r="A12" s="2">
        <v>8</v>
      </c>
      <c r="B12" s="5">
        <v>8441</v>
      </c>
      <c r="C12" s="5" t="s">
        <v>11</v>
      </c>
      <c r="D12" s="9">
        <v>46134</v>
      </c>
      <c r="E12" s="4" t="s">
        <v>7</v>
      </c>
      <c r="F12" s="6" t="s">
        <v>6</v>
      </c>
      <c r="G12" s="7" t="s">
        <v>17</v>
      </c>
      <c r="H12" s="8"/>
      <c r="I12" s="4"/>
      <c r="J12" s="16" t="s">
        <v>23</v>
      </c>
      <c r="K12" s="3" t="str">
        <f>COUNTIFS(Comments!$A:$A,B12,Comments!$C:$C,"완료") &amp; " / " &amp; COUNTIFS(Comments!$A:$A,B12,Comments!$B:$B,"&lt;&gt;")</f>
        <v>2 / 5</v>
      </c>
      <c r="L12" s="17">
        <f>IFERROR(COUNTIFS(Comments!$A:$A,B12,Comments!$C:$C,"완료")/COUNTIFS(Comments!$A:$A,B12,Comments!$B:$B,"&lt;&gt;"),0)</f>
        <v>0.4</v>
      </c>
      <c r="M12" s="2"/>
    </row>
    <row r="13" spans="1:13" ht="17.149999999999999" customHeight="1" x14ac:dyDescent="0.45">
      <c r="A13" s="2">
        <v>9</v>
      </c>
      <c r="B13" s="5">
        <v>4300</v>
      </c>
      <c r="C13" s="5" t="s">
        <v>11</v>
      </c>
      <c r="D13" s="9">
        <v>46154</v>
      </c>
      <c r="E13" s="6" t="s">
        <v>8</v>
      </c>
      <c r="F13" s="6" t="s">
        <v>6</v>
      </c>
      <c r="G13" s="7" t="s">
        <v>17</v>
      </c>
      <c r="H13" s="8"/>
      <c r="I13" s="4"/>
      <c r="J13" s="16" t="s">
        <v>23</v>
      </c>
      <c r="K13" s="3" t="str">
        <f>COUNTIFS(Comments!$A:$A,B13,Comments!$C:$C,"완료") &amp; " / " &amp; COUNTIFS(Comments!$A:$A,B13,Comments!$B:$B,"&lt;&gt;")</f>
        <v>1 / 5</v>
      </c>
      <c r="L13" s="17">
        <f>IFERROR(COUNTIFS(Comments!$A:$A,B13,Comments!$C:$C,"완료")/COUNTIFS(Comments!$A:$A,B13,Comments!$B:$B,"&lt;&gt;"),0)</f>
        <v>0.2</v>
      </c>
      <c r="M13" s="2"/>
    </row>
    <row r="14" spans="1:13" ht="17.149999999999999" customHeight="1" x14ac:dyDescent="0.45">
      <c r="A14" s="2">
        <v>10</v>
      </c>
      <c r="B14" s="5">
        <v>4299</v>
      </c>
      <c r="C14" s="5" t="s">
        <v>11</v>
      </c>
      <c r="D14" s="9">
        <v>46056</v>
      </c>
      <c r="E14" s="4" t="s">
        <v>13</v>
      </c>
      <c r="F14" s="6" t="s">
        <v>142</v>
      </c>
      <c r="G14" s="7" t="s">
        <v>17</v>
      </c>
      <c r="H14" s="8"/>
      <c r="I14" s="4"/>
      <c r="J14" s="16" t="s">
        <v>23</v>
      </c>
      <c r="K14" s="3" t="str">
        <f>COUNTIFS(Comments!$A:$A,B14,Comments!$C:$C,"완료") &amp; " / " &amp; COUNTIFS(Comments!$A:$A,B14,Comments!$B:$B,"&lt;&gt;")</f>
        <v>1 / 5</v>
      </c>
      <c r="L14" s="17">
        <f>IFERROR(COUNTIFS(Comments!$A:$A,B14,Comments!$C:$C,"완료")/COUNTIFS(Comments!$A:$A,B14,Comments!$B:$B,"&lt;&gt;"),0)</f>
        <v>0.2</v>
      </c>
      <c r="M14" s="2"/>
    </row>
    <row r="15" spans="1:13" ht="17.149999999999999" customHeight="1" x14ac:dyDescent="0.45">
      <c r="A15" s="2">
        <v>11</v>
      </c>
      <c r="B15" s="5" t="s">
        <v>14</v>
      </c>
      <c r="C15" s="5" t="s">
        <v>11</v>
      </c>
      <c r="D15" s="9">
        <v>46155</v>
      </c>
      <c r="E15" s="6" t="s">
        <v>1</v>
      </c>
      <c r="F15" s="6" t="s">
        <v>6</v>
      </c>
      <c r="G15" s="7" t="s">
        <v>21</v>
      </c>
      <c r="H15" s="8"/>
      <c r="I15" s="4"/>
      <c r="J15" s="16" t="s">
        <v>23</v>
      </c>
      <c r="K15" s="3" t="str">
        <f>COUNTIFS(Comments!$A:$A,B15,Comments!$C:$C,"완료") &amp; " / " &amp; COUNTIFS(Comments!$A:$A,B15,Comments!$B:$B,"&lt;&gt;")</f>
        <v>0 / 2</v>
      </c>
      <c r="L15" s="17">
        <f>IFERROR(COUNTIFS(Comments!$A:$A,B15,Comments!$C:$C,"완료")/COUNTIFS(Comments!$A:$A,B15,Comments!$B:$B,"&lt;&gt;"),0)</f>
        <v>0</v>
      </c>
      <c r="M15" s="2"/>
    </row>
    <row r="16" spans="1:13" ht="17.149999999999999" customHeight="1" x14ac:dyDescent="0.45">
      <c r="A16" s="2">
        <v>12</v>
      </c>
      <c r="B16" s="5" t="s">
        <v>15</v>
      </c>
      <c r="C16" s="5" t="s">
        <v>11</v>
      </c>
      <c r="D16" s="9">
        <v>45980</v>
      </c>
      <c r="E16" s="6" t="s">
        <v>1</v>
      </c>
      <c r="F16" s="6" t="s">
        <v>6</v>
      </c>
      <c r="G16" s="7" t="s">
        <v>18</v>
      </c>
      <c r="H16" s="8"/>
      <c r="I16" s="4"/>
      <c r="J16" s="16" t="s">
        <v>23</v>
      </c>
      <c r="K16" s="3" t="str">
        <f>COUNTIFS(Comments!$A:$A,B16,Comments!$C:$C,"완료") &amp; " / " &amp; COUNTIFS(Comments!$A:$A,B16,Comments!$B:$B,"&lt;&gt;")</f>
        <v>0 / 2</v>
      </c>
      <c r="L16" s="17">
        <f>IFERROR(COUNTIFS(Comments!$A:$A,B16,Comments!$C:$C,"완료")/COUNTIFS(Comments!$A:$A,B16,Comments!$B:$B,"&lt;&gt;"),0)</f>
        <v>0</v>
      </c>
      <c r="M16" s="2"/>
    </row>
    <row r="17" spans="1:13" x14ac:dyDescent="0.45">
      <c r="A17" s="22">
        <v>13</v>
      </c>
      <c r="B17" s="23">
        <v>3469</v>
      </c>
      <c r="C17" s="5" t="s">
        <v>85</v>
      </c>
      <c r="D17" s="2"/>
      <c r="E17" s="2"/>
      <c r="F17" s="2"/>
      <c r="G17" s="2" t="s">
        <v>141</v>
      </c>
      <c r="H17" s="2"/>
      <c r="I17" s="4"/>
      <c r="J17" s="16" t="s">
        <v>61</v>
      </c>
      <c r="K17" s="3" t="str">
        <f>COUNTIFS(Comments!$A:$A,B17,Comments!$C:$C,"완료") &amp; " / " &amp; COUNTIFS(Comments!$A:$A,B17,Comments!$B:$B,"&lt;&gt;")</f>
        <v>0 / 1</v>
      </c>
      <c r="L17" s="17">
        <f>IFERROR(COUNTIFS(Comments!$A:$A,B17,Comments!$C:$C,"완료")/COUNTIFS(Comments!$A:$A,B17,Comments!$B:$B,"&lt;&gt;"),0)</f>
        <v>0</v>
      </c>
      <c r="M17" s="2" t="s">
        <v>87</v>
      </c>
    </row>
  </sheetData>
  <mergeCells count="1">
    <mergeCell ref="B2:J2"/>
  </mergeCells>
  <phoneticPr fontId="1" type="noConversion"/>
  <conditionalFormatting sqref="J5:J17">
    <cfRule type="cellIs" dxfId="15" priority="1" operator="equal">
      <formula>"FAT 진행완료"</formula>
    </cfRule>
  </conditionalFormatting>
  <conditionalFormatting sqref="J5:J17">
    <cfRule type="cellIs" dxfId="14" priority="2" operator="equal">
      <formula>"FAT 진행중"</formula>
    </cfRule>
  </conditionalFormatting>
  <conditionalFormatting sqref="J5:J17">
    <cfRule type="cellIs" dxfId="13" priority="3" operator="equal">
      <formula>"FAT 예정"</formula>
    </cfRule>
  </conditionalFormatting>
  <conditionalFormatting sqref="J5:J17">
    <cfRule type="cellIs" dxfId="12" priority="4" operator="equal">
      <formula>"FAT 진행하지 않음"</formula>
    </cfRule>
  </conditionalFormatting>
  <conditionalFormatting sqref="J5:J17">
    <cfRule type="cellIs" dxfId="11" priority="5" operator="equal">
      <formula>"보류"</formula>
    </cfRule>
  </conditionalFormatting>
  <conditionalFormatting sqref="L5:L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{516F8688-4C37-47F6-9EFC-4ED0C9A07B92}</x14:id>
        </ext>
      </extLst>
    </cfRule>
  </conditionalFormatting>
  <dataValidations disablePrompts="1" count="1">
    <dataValidation type="list" allowBlank="1" showInputMessage="1" showErrorMessage="1" errorTitle="잘못된 입력" error="목록에서 상태를 선택해주세요." promptTitle="FAT 상태" prompt="상태를 선택하세요: 진행완료 / 진행중 / 예정 / 진행하지 않음 / 보류" sqref="J5:J17" xr:uid="{EB8FD354-6DA5-4658-8379-90C261A64234}">
      <formula1>"FAT 진행완료,FAT 진행중,FAT 예정,FAT 진행하지 않음,보류"</formula1>
    </dataValidation>
  </dataValidations>
  <hyperlinks>
    <hyperlink ref="G6" r:id="rId1" xr:uid="{477FF8FA-9C32-4741-A4A4-D31DEC7AEF98}"/>
  </hyperlinks>
  <pageMargins left="0.7" right="0.7" top="0.75" bottom="0.75" header="0.3" footer="0.3"/>
  <pageSetup paperSize="9" scale="68" fitToHeight="0" orientation="landscape" r:id="rId2"/>
  <headerFooter>
    <oddFooter>&amp;L_x000D_&amp;1#&amp;"Calibri"&amp;9&amp;K000000 Confidential | AVIKUS – Unauthorized distribution is strictly prohibited</oddFooter>
  </headerFooter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6F8688-4C37-47F6-9EFC-4ED0C9A07B92}">
            <x14:dataBar minLength="0" maxLength="100" negativeBarColorSameAsPositive="1" axisPosition="none">
              <x14:cfvo type="min"/>
              <x14:cfvo type="max"/>
            </x14:dataBar>
          </x14:cfRule>
          <xm:sqref>L5:L17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876C-2CEB-4772-BCA6-AAF9C3221D77}">
  <dimension ref="A1:H48"/>
  <sheetViews>
    <sheetView tabSelected="1" zoomScaleNormal="100" workbookViewId="0">
      <pane ySplit="1" topLeftCell="A8" activePane="bottomLeft" state="frozen"/>
      <selection pane="bottomLeft" activeCell="B16" sqref="B16"/>
    </sheetView>
  </sheetViews>
  <sheetFormatPr defaultRowHeight="17" outlineLevelRow="1" x14ac:dyDescent="0.45"/>
  <cols>
    <col min="1" max="1" width="11.6640625" customWidth="1"/>
    <col min="2" max="2" width="76.25" bestFit="1" customWidth="1"/>
    <col min="3" max="3" width="13.33203125" customWidth="1"/>
    <col min="4" max="4" width="15" customWidth="1"/>
    <col min="5" max="6" width="16.6640625" customWidth="1"/>
    <col min="7" max="7" width="33.33203125" customWidth="1"/>
    <col min="8" max="8" width="16.6640625" customWidth="1"/>
  </cols>
  <sheetData>
    <row r="1" spans="1:8" x14ac:dyDescent="0.45">
      <c r="A1" s="12" t="s">
        <v>24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37</v>
      </c>
    </row>
    <row r="2" spans="1:8" x14ac:dyDescent="0.45">
      <c r="A2" s="18">
        <v>3495</v>
      </c>
      <c r="B2" s="19" t="s">
        <v>38</v>
      </c>
      <c r="C2" s="18"/>
      <c r="D2" s="18"/>
      <c r="E2" s="26"/>
      <c r="F2" s="26"/>
      <c r="G2" s="18"/>
      <c r="H2" s="18" t="str">
        <f>IFERROR(TEXT(COUNTIFS(C3:C5,"완료")/COUNTIF(B3:B5,"&lt;&gt;"),"0%"),"0%") &amp; " (" &amp; COUNTIFS(C3:C5,"완료") &amp; "/" &amp; COUNTIF(B3:B5,"&lt;&gt;") &amp; ")"</f>
        <v>67% (2/3)</v>
      </c>
    </row>
    <row r="3" spans="1:8" outlineLevel="1" x14ac:dyDescent="0.45">
      <c r="A3" s="11">
        <v>3495</v>
      </c>
      <c r="B3" s="2" t="s">
        <v>101</v>
      </c>
      <c r="C3" s="3" t="s">
        <v>126</v>
      </c>
      <c r="D3" s="3"/>
      <c r="E3" s="27"/>
      <c r="F3" s="27"/>
      <c r="G3" s="3"/>
      <c r="H3" s="3"/>
    </row>
    <row r="4" spans="1:8" outlineLevel="1" x14ac:dyDescent="0.45">
      <c r="A4" s="11">
        <v>3495</v>
      </c>
      <c r="B4" s="2" t="s">
        <v>102</v>
      </c>
      <c r="C4" s="3" t="s">
        <v>126</v>
      </c>
      <c r="D4" s="3"/>
      <c r="E4" s="27"/>
      <c r="F4" s="27"/>
      <c r="G4" s="3"/>
      <c r="H4" s="3"/>
    </row>
    <row r="5" spans="1:8" outlineLevel="1" x14ac:dyDescent="0.45">
      <c r="A5" s="11">
        <v>3495</v>
      </c>
      <c r="B5" s="2" t="s">
        <v>103</v>
      </c>
      <c r="C5" s="3" t="s">
        <v>127</v>
      </c>
      <c r="D5" s="3" t="s">
        <v>128</v>
      </c>
      <c r="E5" s="27" t="s">
        <v>129</v>
      </c>
      <c r="F5" s="27"/>
      <c r="G5" s="3" t="s">
        <v>130</v>
      </c>
      <c r="H5" s="3"/>
    </row>
    <row r="6" spans="1:8" x14ac:dyDescent="0.45">
      <c r="A6" s="18">
        <v>3510</v>
      </c>
      <c r="B6" s="19" t="s">
        <v>39</v>
      </c>
      <c r="C6" s="18"/>
      <c r="D6" s="18"/>
      <c r="E6" s="26"/>
      <c r="F6" s="26"/>
      <c r="G6" s="18"/>
      <c r="H6" s="18" t="str">
        <f>IFERROR(TEXT(COUNTIFS(C7:C7,"완료")/COUNTIF(B7:B7,"&lt;&gt;"),"0%"),"0%") &amp; " (" &amp; COUNTIFS(C7:C7,"완료") &amp; "/" &amp; COUNTIF(B7:B7,"&lt;&gt;") &amp; ")"</f>
        <v>0% (0/1)</v>
      </c>
    </row>
    <row r="7" spans="1:8" outlineLevel="1" x14ac:dyDescent="0.45">
      <c r="A7" s="11">
        <v>3510</v>
      </c>
      <c r="B7" s="2" t="s">
        <v>104</v>
      </c>
      <c r="C7" s="3" t="s">
        <v>131</v>
      </c>
      <c r="D7" s="3"/>
      <c r="E7" s="27"/>
      <c r="F7" s="27"/>
      <c r="G7" s="3"/>
      <c r="H7" s="3"/>
    </row>
    <row r="8" spans="1:8" x14ac:dyDescent="0.45">
      <c r="A8" s="18">
        <v>8265</v>
      </c>
      <c r="B8" s="19" t="s">
        <v>40</v>
      </c>
      <c r="C8" s="18"/>
      <c r="D8" s="18"/>
      <c r="E8" s="26"/>
      <c r="F8" s="26"/>
      <c r="G8" s="18"/>
      <c r="H8" s="18" t="str">
        <f>IFERROR(TEXT(COUNTIFS(C9:C11,"완료")/COUNTIF(B9:B11,"&lt;&gt;"),"0%"),"0%") &amp; " (" &amp; COUNTIFS(C9:C11,"완료") &amp; "/" &amp; COUNTIF(B9:B11,"&lt;&gt;") &amp; ")"</f>
        <v>33% (1/3)</v>
      </c>
    </row>
    <row r="9" spans="1:8" outlineLevel="1" x14ac:dyDescent="0.45">
      <c r="A9" s="11">
        <v>8265</v>
      </c>
      <c r="B9" s="2" t="s">
        <v>105</v>
      </c>
      <c r="C9" s="3" t="s">
        <v>131</v>
      </c>
      <c r="D9" s="3"/>
      <c r="E9" s="27"/>
      <c r="F9" s="27"/>
      <c r="G9" s="3"/>
      <c r="H9" s="3"/>
    </row>
    <row r="10" spans="1:8" outlineLevel="1" x14ac:dyDescent="0.45">
      <c r="A10" s="11">
        <v>8265</v>
      </c>
      <c r="B10" s="2" t="s">
        <v>106</v>
      </c>
      <c r="C10" s="3" t="s">
        <v>131</v>
      </c>
      <c r="D10" s="3"/>
      <c r="E10" s="27"/>
      <c r="F10" s="27"/>
      <c r="G10" s="3"/>
      <c r="H10" s="3"/>
    </row>
    <row r="11" spans="1:8" outlineLevel="1" x14ac:dyDescent="0.45">
      <c r="A11" s="11">
        <v>8265</v>
      </c>
      <c r="B11" s="2" t="s">
        <v>107</v>
      </c>
      <c r="C11" s="3" t="s">
        <v>126</v>
      </c>
      <c r="D11" s="3"/>
      <c r="E11" s="27"/>
      <c r="F11" s="27"/>
      <c r="G11" s="3" t="s">
        <v>133</v>
      </c>
      <c r="H11" s="3"/>
    </row>
    <row r="12" spans="1:8" x14ac:dyDescent="0.45">
      <c r="A12" s="18">
        <v>3531</v>
      </c>
      <c r="B12" s="19" t="s">
        <v>41</v>
      </c>
      <c r="C12" s="18"/>
      <c r="D12" s="18"/>
      <c r="E12" s="26"/>
      <c r="F12" s="26"/>
      <c r="G12" s="18"/>
      <c r="H12" s="18" t="str">
        <f>IFERROR(TEXT(COUNTIFS(C13:C16,"완료")/COUNTIF(B13:B16,"&lt;&gt;"),"0%"),"0%") &amp; " (" &amp; COUNTIFS(C13:C16,"완료") &amp; "/" &amp; COUNTIF(B13:B16,"&lt;&gt;") &amp; ")"</f>
        <v>25% (1/4)</v>
      </c>
    </row>
    <row r="13" spans="1:8" outlineLevel="1" x14ac:dyDescent="0.45">
      <c r="A13" s="11">
        <v>3531</v>
      </c>
      <c r="B13" s="2" t="s">
        <v>108</v>
      </c>
      <c r="C13" s="3" t="s">
        <v>131</v>
      </c>
      <c r="D13" s="3"/>
      <c r="E13" s="27"/>
      <c r="F13" s="27"/>
      <c r="G13" s="3" t="s">
        <v>132</v>
      </c>
      <c r="H13" s="3"/>
    </row>
    <row r="14" spans="1:8" outlineLevel="1" x14ac:dyDescent="0.45">
      <c r="A14" s="11">
        <v>3531</v>
      </c>
      <c r="B14" s="2" t="s">
        <v>109</v>
      </c>
      <c r="C14" s="3" t="s">
        <v>131</v>
      </c>
      <c r="D14" s="3"/>
      <c r="E14" s="27"/>
      <c r="F14" s="27"/>
      <c r="G14" s="3"/>
      <c r="H14" s="3"/>
    </row>
    <row r="15" spans="1:8" outlineLevel="1" x14ac:dyDescent="0.45">
      <c r="A15" s="11">
        <v>3531</v>
      </c>
      <c r="B15" s="2" t="s">
        <v>110</v>
      </c>
      <c r="C15" s="3" t="s">
        <v>131</v>
      </c>
      <c r="D15" s="3"/>
      <c r="E15" s="27"/>
      <c r="F15" s="27"/>
      <c r="G15" s="3"/>
      <c r="H15" s="3"/>
    </row>
    <row r="16" spans="1:8" outlineLevel="1" x14ac:dyDescent="0.45">
      <c r="A16" s="11">
        <v>3531</v>
      </c>
      <c r="B16" s="2" t="s">
        <v>111</v>
      </c>
      <c r="C16" s="3" t="s">
        <v>126</v>
      </c>
      <c r="D16" s="3" t="s">
        <v>134</v>
      </c>
      <c r="E16" s="27"/>
      <c r="F16" s="27" t="s">
        <v>136</v>
      </c>
      <c r="G16" s="3" t="s">
        <v>135</v>
      </c>
      <c r="H16" s="3"/>
    </row>
    <row r="17" spans="1:8" x14ac:dyDescent="0.45">
      <c r="A17" s="18">
        <v>3532</v>
      </c>
      <c r="B17" s="19" t="s">
        <v>42</v>
      </c>
      <c r="C17" s="18"/>
      <c r="D17" s="18"/>
      <c r="E17" s="26"/>
      <c r="F17" s="26"/>
      <c r="G17" s="18"/>
      <c r="H17" s="18" t="str">
        <f>IFERROR(TEXT(COUNTIFS(C18:C21,"완료")/COUNTIF(B18:B21,"&lt;&gt;"),"0%"),"0%") &amp; " (" &amp; COUNTIFS(C18:C21,"완료") &amp; "/" &amp; COUNTIF(B18:B21,"&lt;&gt;") &amp; ")"</f>
        <v>25% (1/4)</v>
      </c>
    </row>
    <row r="18" spans="1:8" outlineLevel="1" x14ac:dyDescent="0.45">
      <c r="A18" s="11">
        <v>3532</v>
      </c>
      <c r="B18" s="2" t="s">
        <v>108</v>
      </c>
      <c r="C18" s="3" t="s">
        <v>131</v>
      </c>
      <c r="D18" s="3"/>
      <c r="E18" s="27"/>
      <c r="F18" s="27"/>
      <c r="G18" s="3"/>
      <c r="H18" s="3"/>
    </row>
    <row r="19" spans="1:8" outlineLevel="1" x14ac:dyDescent="0.45">
      <c r="A19" s="11">
        <v>3532</v>
      </c>
      <c r="B19" s="2" t="s">
        <v>109</v>
      </c>
      <c r="C19" s="3" t="s">
        <v>131</v>
      </c>
      <c r="D19" s="3"/>
      <c r="E19" s="27"/>
      <c r="F19" s="27"/>
      <c r="G19" s="3"/>
      <c r="H19" s="3"/>
    </row>
    <row r="20" spans="1:8" outlineLevel="1" x14ac:dyDescent="0.45">
      <c r="A20" s="11">
        <v>3532</v>
      </c>
      <c r="B20" s="2" t="s">
        <v>110</v>
      </c>
      <c r="C20" s="3" t="s">
        <v>131</v>
      </c>
      <c r="D20" s="3"/>
      <c r="E20" s="27"/>
      <c r="F20" s="27"/>
      <c r="G20" s="3"/>
      <c r="H20" s="3"/>
    </row>
    <row r="21" spans="1:8" ht="18" customHeight="1" outlineLevel="1" x14ac:dyDescent="0.45">
      <c r="A21" s="11">
        <v>3532</v>
      </c>
      <c r="B21" s="2" t="s">
        <v>111</v>
      </c>
      <c r="C21" s="3" t="s">
        <v>126</v>
      </c>
      <c r="D21" s="3" t="s">
        <v>134</v>
      </c>
      <c r="E21" s="27"/>
      <c r="F21" s="27" t="s">
        <v>136</v>
      </c>
      <c r="G21" s="3" t="s">
        <v>135</v>
      </c>
      <c r="H21" s="3"/>
    </row>
    <row r="22" spans="1:8" x14ac:dyDescent="0.45">
      <c r="A22" s="18">
        <v>2946</v>
      </c>
      <c r="B22" s="19" t="s">
        <v>43</v>
      </c>
      <c r="C22" s="18"/>
      <c r="D22" s="18"/>
      <c r="E22" s="26"/>
      <c r="F22" s="26"/>
      <c r="G22" s="18"/>
      <c r="H22" s="18" t="str">
        <f>IFERROR(TEXT(COUNTIFS(C23:C27,"완료")/COUNTIF(B23:B27,"&lt;&gt;"),"0%"),"0%") &amp; " (" &amp; COUNTIFS(C23:C27,"완료") &amp; "/" &amp; COUNTIF(B23:B27,"&lt;&gt;") &amp; ")"</f>
        <v>20% (1/5)</v>
      </c>
    </row>
    <row r="23" spans="1:8" outlineLevel="1" x14ac:dyDescent="0.45">
      <c r="A23" s="11">
        <v>2946</v>
      </c>
      <c r="B23" s="2" t="s">
        <v>113</v>
      </c>
      <c r="C23" s="3" t="s">
        <v>127</v>
      </c>
      <c r="D23" s="3" t="s">
        <v>128</v>
      </c>
      <c r="E23" s="27"/>
      <c r="F23" s="27"/>
      <c r="G23" s="3"/>
      <c r="H23" s="3"/>
    </row>
    <row r="24" spans="1:8" outlineLevel="1" x14ac:dyDescent="0.45">
      <c r="A24" s="11">
        <v>2946</v>
      </c>
      <c r="B24" s="2" t="s">
        <v>114</v>
      </c>
      <c r="C24" s="3" t="s">
        <v>127</v>
      </c>
      <c r="D24" s="3" t="s">
        <v>128</v>
      </c>
      <c r="E24" s="27"/>
      <c r="F24" s="27"/>
      <c r="G24" s="3"/>
      <c r="H24" s="3"/>
    </row>
    <row r="25" spans="1:8" outlineLevel="1" x14ac:dyDescent="0.45">
      <c r="A25" s="11">
        <v>2946</v>
      </c>
      <c r="B25" s="2" t="s">
        <v>112</v>
      </c>
      <c r="C25" s="3" t="s">
        <v>126</v>
      </c>
      <c r="D25" s="3" t="s">
        <v>137</v>
      </c>
      <c r="E25" s="27"/>
      <c r="F25" s="27" t="s">
        <v>138</v>
      </c>
      <c r="G25" s="3"/>
      <c r="H25" s="3"/>
    </row>
    <row r="26" spans="1:8" outlineLevel="1" x14ac:dyDescent="0.45">
      <c r="A26" s="11">
        <v>2946</v>
      </c>
      <c r="B26" s="2" t="s">
        <v>115</v>
      </c>
      <c r="C26" s="3" t="s">
        <v>131</v>
      </c>
      <c r="D26" s="3"/>
      <c r="E26" s="27"/>
      <c r="F26" s="27"/>
      <c r="G26" s="3"/>
      <c r="H26" s="3"/>
    </row>
    <row r="27" spans="1:8" outlineLevel="1" x14ac:dyDescent="0.45">
      <c r="A27" s="11">
        <v>2946</v>
      </c>
      <c r="B27" s="2" t="s">
        <v>116</v>
      </c>
      <c r="C27" s="3" t="s">
        <v>131</v>
      </c>
      <c r="D27" s="3"/>
      <c r="E27" s="27"/>
      <c r="F27" s="27"/>
      <c r="G27" s="3"/>
      <c r="H27" s="3"/>
    </row>
    <row r="28" spans="1:8" x14ac:dyDescent="0.45">
      <c r="A28" s="18">
        <v>8441</v>
      </c>
      <c r="B28" s="19" t="s">
        <v>44</v>
      </c>
      <c r="C28" s="18"/>
      <c r="D28" s="18"/>
      <c r="E28" s="26"/>
      <c r="F28" s="26"/>
      <c r="G28" s="18"/>
      <c r="H28" s="18" t="str">
        <f>IFERROR(TEXT(COUNTIFS(C29:C32,"완료")/COUNTIF(B29:B32,"&lt;&gt;"),"0%"),"0%") &amp; " (" &amp; COUNTIFS(C29:C32,"완료") &amp; "/" &amp; COUNTIF(B29:B32,"&lt;&gt;") &amp; ")"</f>
        <v>50% (2/4)</v>
      </c>
    </row>
    <row r="29" spans="1:8" outlineLevel="1" x14ac:dyDescent="0.45">
      <c r="A29" s="11">
        <v>8441</v>
      </c>
      <c r="B29" s="2" t="s">
        <v>117</v>
      </c>
      <c r="C29" s="3" t="s">
        <v>126</v>
      </c>
      <c r="D29" s="3" t="s">
        <v>137</v>
      </c>
      <c r="E29" s="27"/>
      <c r="F29" s="27" t="s">
        <v>138</v>
      </c>
      <c r="G29" s="3"/>
      <c r="H29" s="3"/>
    </row>
    <row r="30" spans="1:8" outlineLevel="1" x14ac:dyDescent="0.45">
      <c r="A30" s="11">
        <v>8441</v>
      </c>
      <c r="B30" s="2" t="s">
        <v>118</v>
      </c>
      <c r="C30" s="3" t="s">
        <v>126</v>
      </c>
      <c r="D30" s="3" t="s">
        <v>139</v>
      </c>
      <c r="E30" s="27"/>
      <c r="F30" s="27"/>
      <c r="G30" s="3" t="s">
        <v>140</v>
      </c>
      <c r="H30" s="3"/>
    </row>
    <row r="31" spans="1:8" outlineLevel="1" x14ac:dyDescent="0.45">
      <c r="A31" s="11">
        <v>8441</v>
      </c>
      <c r="B31" s="2" t="s">
        <v>119</v>
      </c>
      <c r="C31" s="3" t="s">
        <v>131</v>
      </c>
      <c r="D31" s="3"/>
      <c r="E31" s="27"/>
      <c r="F31" s="27"/>
      <c r="G31" s="3"/>
      <c r="H31" s="3"/>
    </row>
    <row r="32" spans="1:8" outlineLevel="1" x14ac:dyDescent="0.45">
      <c r="A32" s="11">
        <v>8441</v>
      </c>
      <c r="B32" s="2" t="s">
        <v>120</v>
      </c>
      <c r="C32" s="3" t="s">
        <v>131</v>
      </c>
      <c r="D32" s="3"/>
      <c r="E32" s="27"/>
      <c r="F32" s="27"/>
      <c r="G32" s="3"/>
      <c r="H32" s="3"/>
    </row>
    <row r="33" spans="1:8" x14ac:dyDescent="0.45">
      <c r="A33" s="18">
        <v>4300</v>
      </c>
      <c r="B33" s="19" t="s">
        <v>45</v>
      </c>
      <c r="C33" s="18"/>
      <c r="D33" s="18"/>
      <c r="E33" s="26"/>
      <c r="F33" s="26"/>
      <c r="G33" s="18"/>
      <c r="H33" s="18" t="str">
        <f>IFERROR(TEXT(COUNTIFS(C34:C37,"완료")/COUNTIF(B34:B37,"&lt;&gt;"),"0%"),"0%") &amp; " (" &amp; COUNTIFS(C34:C37,"완료") &amp; "/" &amp; COUNTIF(B34:B37,"&lt;&gt;") &amp; ")"</f>
        <v>25% (1/4)</v>
      </c>
    </row>
    <row r="34" spans="1:8" outlineLevel="1" x14ac:dyDescent="0.45">
      <c r="A34" s="11">
        <v>4300</v>
      </c>
      <c r="B34" s="2" t="s">
        <v>121</v>
      </c>
      <c r="C34" s="3" t="s">
        <v>127</v>
      </c>
      <c r="D34" s="3" t="s">
        <v>137</v>
      </c>
      <c r="E34" s="27"/>
      <c r="F34" s="27"/>
      <c r="G34" s="3"/>
      <c r="H34" s="3"/>
    </row>
    <row r="35" spans="1:8" outlineLevel="1" x14ac:dyDescent="0.45">
      <c r="A35" s="11">
        <v>4300</v>
      </c>
      <c r="B35" s="2" t="s">
        <v>122</v>
      </c>
      <c r="C35" s="3" t="s">
        <v>131</v>
      </c>
      <c r="D35" s="3"/>
      <c r="E35" s="27"/>
      <c r="F35" s="27"/>
      <c r="G35" s="3"/>
      <c r="H35" s="3"/>
    </row>
    <row r="36" spans="1:8" outlineLevel="1" x14ac:dyDescent="0.45">
      <c r="A36" s="11">
        <v>4300</v>
      </c>
      <c r="B36" s="2" t="s">
        <v>123</v>
      </c>
      <c r="C36" s="3" t="s">
        <v>126</v>
      </c>
      <c r="D36" s="3" t="s">
        <v>139</v>
      </c>
      <c r="E36" s="27"/>
      <c r="F36" s="27"/>
      <c r="G36" s="3" t="s">
        <v>140</v>
      </c>
      <c r="H36" s="3"/>
    </row>
    <row r="37" spans="1:8" outlineLevel="1" x14ac:dyDescent="0.45">
      <c r="A37" s="11">
        <v>4300</v>
      </c>
      <c r="B37" s="2" t="s">
        <v>124</v>
      </c>
      <c r="C37" s="3" t="s">
        <v>131</v>
      </c>
      <c r="D37" s="3"/>
      <c r="E37" s="27"/>
      <c r="F37" s="27"/>
      <c r="G37" s="3"/>
      <c r="H37" s="3"/>
    </row>
    <row r="38" spans="1:8" x14ac:dyDescent="0.45">
      <c r="A38" s="18">
        <v>4299</v>
      </c>
      <c r="B38" s="19" t="s">
        <v>46</v>
      </c>
      <c r="C38" s="18"/>
      <c r="D38" s="18"/>
      <c r="E38" s="26"/>
      <c r="F38" s="26"/>
      <c r="G38" s="18"/>
      <c r="H38" s="18" t="str">
        <f>IFERROR(TEXT(COUNTIFS(C39:C42,"완료")/COUNTIF(B39:B42,"&lt;&gt;"),"0%"),"0%") &amp; " (" &amp; COUNTIFS(C39:C42,"완료") &amp; "/" &amp; COUNTIF(B39:B42,"&lt;&gt;") &amp; ")"</f>
        <v>25% (1/4)</v>
      </c>
    </row>
    <row r="39" spans="1:8" outlineLevel="1" x14ac:dyDescent="0.45">
      <c r="A39" s="11">
        <v>4299</v>
      </c>
      <c r="B39" s="2" t="s">
        <v>121</v>
      </c>
      <c r="C39" s="3" t="s">
        <v>127</v>
      </c>
      <c r="D39" s="3" t="s">
        <v>137</v>
      </c>
      <c r="E39" s="27"/>
      <c r="F39" s="27"/>
      <c r="G39" s="3"/>
      <c r="H39" s="3"/>
    </row>
    <row r="40" spans="1:8" outlineLevel="1" x14ac:dyDescent="0.45">
      <c r="A40" s="11">
        <v>4299</v>
      </c>
      <c r="B40" s="2" t="s">
        <v>122</v>
      </c>
      <c r="C40" s="3" t="s">
        <v>131</v>
      </c>
      <c r="D40" s="3"/>
      <c r="E40" s="27"/>
      <c r="F40" s="27"/>
      <c r="G40" s="3"/>
      <c r="H40" s="3"/>
    </row>
    <row r="41" spans="1:8" outlineLevel="1" x14ac:dyDescent="0.45">
      <c r="A41" s="11">
        <v>4299</v>
      </c>
      <c r="B41" s="2" t="s">
        <v>123</v>
      </c>
      <c r="C41" s="3" t="s">
        <v>126</v>
      </c>
      <c r="D41" s="3" t="s">
        <v>139</v>
      </c>
      <c r="E41" s="27"/>
      <c r="F41" s="27"/>
      <c r="G41" s="3" t="s">
        <v>140</v>
      </c>
      <c r="H41" s="3"/>
    </row>
    <row r="42" spans="1:8" outlineLevel="1" x14ac:dyDescent="0.45">
      <c r="A42" s="11">
        <v>4299</v>
      </c>
      <c r="B42" s="2" t="s">
        <v>124</v>
      </c>
      <c r="C42" s="3" t="s">
        <v>131</v>
      </c>
      <c r="D42" s="3"/>
      <c r="E42" s="27"/>
      <c r="F42" s="27"/>
      <c r="G42" s="3"/>
      <c r="H42" s="3"/>
    </row>
    <row r="43" spans="1:8" x14ac:dyDescent="0.45">
      <c r="A43" s="18" t="s">
        <v>33</v>
      </c>
      <c r="B43" s="19" t="s">
        <v>47</v>
      </c>
      <c r="C43" s="18"/>
      <c r="D43" s="18"/>
      <c r="E43" s="26"/>
      <c r="F43" s="26"/>
      <c r="G43" s="18"/>
      <c r="H43" s="18" t="str">
        <f>IFERROR(TEXT(COUNTIFS(C44:C44,"완료")/COUNTIF(B44:B44,"&lt;&gt;"),"0%"),"0%") &amp; " (" &amp; COUNTIFS(C44:C44,"완료") &amp; "/" &amp; COUNTIF(B44:B44,"&lt;&gt;") &amp; ")"</f>
        <v>0% (0/1)</v>
      </c>
    </row>
    <row r="44" spans="1:8" outlineLevel="1" x14ac:dyDescent="0.45">
      <c r="A44" s="24" t="s">
        <v>33</v>
      </c>
      <c r="B44" s="25" t="s">
        <v>125</v>
      </c>
      <c r="C44" s="28" t="s">
        <v>131</v>
      </c>
      <c r="D44" s="28"/>
      <c r="E44" s="29"/>
      <c r="F44" s="29"/>
      <c r="G44" s="28"/>
      <c r="H44" s="3"/>
    </row>
    <row r="45" spans="1:8" x14ac:dyDescent="0.45">
      <c r="A45" s="18" t="s">
        <v>34</v>
      </c>
      <c r="B45" s="19" t="s">
        <v>48</v>
      </c>
      <c r="C45" s="18"/>
      <c r="D45" s="18"/>
      <c r="E45" s="26"/>
      <c r="F45" s="26"/>
      <c r="G45" s="18"/>
      <c r="H45" s="18" t="str">
        <f>IFERROR(TEXT(COUNTIFS(C46:C46,"완료")/COUNTIF(B46:B46,"&lt;&gt;"),"0%"),"0%") &amp; " (" &amp; COUNTIFS(C46:C46,"완료") &amp; "/" &amp; COUNTIF(B46:B46,"&lt;&gt;") &amp; ")"</f>
        <v>0% (0/1)</v>
      </c>
    </row>
    <row r="46" spans="1:8" outlineLevel="1" x14ac:dyDescent="0.45">
      <c r="A46" s="11" t="s">
        <v>15</v>
      </c>
      <c r="B46" s="2" t="s">
        <v>125</v>
      </c>
      <c r="C46" s="3" t="s">
        <v>131</v>
      </c>
      <c r="D46" s="3"/>
      <c r="E46" s="27"/>
      <c r="F46" s="27"/>
      <c r="G46" s="3"/>
      <c r="H46" s="3"/>
    </row>
    <row r="47" spans="1:8" x14ac:dyDescent="0.45">
      <c r="A47" s="18">
        <v>3469</v>
      </c>
      <c r="B47" s="19" t="s">
        <v>88</v>
      </c>
      <c r="C47" s="18"/>
      <c r="D47" s="18"/>
      <c r="E47" s="26"/>
      <c r="F47" s="26"/>
      <c r="G47" s="18"/>
      <c r="H47" s="18" t="str">
        <f>IFERROR(TEXT(COUNTIFS(C48:C52,"완료")/COUNTIF(B48:B52,"&lt;&gt;"),"0%"),"0%") &amp; " (" &amp; COUNTIFS(C48:C52,"완료") &amp; "/" &amp; COUNTIF(B48:B52,"&lt;&gt;") &amp; ")"</f>
        <v>0% (0/0)</v>
      </c>
    </row>
    <row r="48" spans="1:8" outlineLevel="1" x14ac:dyDescent="0.45">
      <c r="A48" s="11">
        <v>3469</v>
      </c>
      <c r="B48" s="2"/>
      <c r="C48" s="3"/>
      <c r="D48" s="3"/>
      <c r="E48" s="3"/>
      <c r="F48" s="3"/>
      <c r="G48" s="3"/>
      <c r="H48" s="3"/>
    </row>
  </sheetData>
  <phoneticPr fontId="1" type="noConversion"/>
  <conditionalFormatting sqref="C2:C48">
    <cfRule type="cellIs" dxfId="5" priority="1" operator="equal">
      <formula>"OBT 전"</formula>
    </cfRule>
  </conditionalFormatting>
  <conditionalFormatting sqref="C2:C48">
    <cfRule type="cellIs" dxfId="4" priority="2" operator="equal">
      <formula>"진행중"</formula>
    </cfRule>
  </conditionalFormatting>
  <conditionalFormatting sqref="C2:C48">
    <cfRule type="cellIs" dxfId="3" priority="3" operator="equal">
      <formula>"완료"</formula>
    </cfRule>
  </conditionalFormatting>
  <conditionalFormatting sqref="C2:C48">
    <cfRule type="cellIs" dxfId="2" priority="4" operator="equal">
      <formula>"미진행"</formula>
    </cfRule>
  </conditionalFormatting>
  <conditionalFormatting sqref="C2:C48">
    <cfRule type="cellIs" dxfId="1" priority="5" operator="equal">
      <formula>"불가능"</formula>
    </cfRule>
  </conditionalFormatting>
  <conditionalFormatting sqref="C2:C48">
    <cfRule type="cellIs" dxfId="0" priority="6" operator="equal">
      <formula>"보류"</formula>
    </cfRule>
  </conditionalFormatting>
  <dataValidations count="3">
    <dataValidation type="list" errorStyle="information" allowBlank="1" showInputMessage="1" showErrorMessage="1" errorTitle="Comment 선택" error="Comment Master 시트에 등록된 내용 중에서 선택하거나, Master에 먼저 추가해주세요." promptTitle="Comment 선택" prompt="▼ 클릭해서 등록된 Comment 선택 (없으면 Comment Master 시트에 추가)" sqref="B3:B5 B7 B9:B11 B13:B16 B18:B21 B23:B27 B29:B32 B34:B37 B39:B42 B44 B46" xr:uid="{EB8AA845-6652-42F5-A834-BB23AC1A9030}">
      <formula1>CommentList</formula1>
    </dataValidation>
    <dataValidation type="list" allowBlank="1" showInputMessage="1" showErrorMessage="1" sqref="B48" xr:uid="{3D566195-E3E6-46A8-ABDF-44A5D65E9AEB}">
      <formula1>CommentList</formula1>
    </dataValidation>
    <dataValidation type="list" allowBlank="1" showInputMessage="1" showErrorMessage="1" sqref="C2:C48" xr:uid="{E297B867-00F2-4816-A8DF-5EF85E25EC89}">
      <formula1>"미진행,OBT 전,진행중,완료,불가능,보류"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66FA-2A69-42DB-B7F5-81E824A376BA}">
  <dimension ref="A1:F26"/>
  <sheetViews>
    <sheetView zoomScaleNormal="100" workbookViewId="0">
      <pane ySplit="1" topLeftCell="A2" activePane="bottomLeft" state="frozen"/>
      <selection pane="bottomLeft" activeCell="B8" sqref="B8"/>
    </sheetView>
  </sheetViews>
  <sheetFormatPr defaultRowHeight="17" x14ac:dyDescent="0.45"/>
  <cols>
    <col min="1" max="1" width="11.6640625" customWidth="1"/>
    <col min="2" max="2" width="66.6640625" customWidth="1"/>
    <col min="3" max="3" width="16.6640625" customWidth="1"/>
    <col min="4" max="4" width="33.33203125" style="14" customWidth="1"/>
    <col min="5" max="5" width="83.83203125" bestFit="1" customWidth="1"/>
  </cols>
  <sheetData>
    <row r="1" spans="1:5" x14ac:dyDescent="0.45">
      <c r="A1" s="13" t="s">
        <v>49</v>
      </c>
      <c r="B1" s="13" t="s">
        <v>27</v>
      </c>
      <c r="C1" s="13" t="s">
        <v>50</v>
      </c>
      <c r="D1" s="13" t="s">
        <v>32</v>
      </c>
      <c r="E1" s="13" t="s">
        <v>51</v>
      </c>
    </row>
    <row r="2" spans="1:5" x14ac:dyDescent="0.45">
      <c r="A2" s="14" t="s">
        <v>52</v>
      </c>
      <c r="B2" s="20" t="s">
        <v>89</v>
      </c>
      <c r="C2" s="14" t="s">
        <v>94</v>
      </c>
      <c r="D2" s="14" t="s">
        <v>56</v>
      </c>
      <c r="E2" t="str">
        <f>CommentMaster[[#This Row],[코드]] &amp; " / " &amp; CommentMaster[[#This Row],[Comment 내용]]</f>
        <v>ELEC-0119 /  IACS UR E27 related to cyber resilience requirements 문서 일치 확인</v>
      </c>
    </row>
    <row r="3" spans="1:5" x14ac:dyDescent="0.45">
      <c r="A3" s="14" t="s">
        <v>53</v>
      </c>
      <c r="B3" t="s">
        <v>90</v>
      </c>
      <c r="C3" s="14" t="s">
        <v>93</v>
      </c>
      <c r="D3" s="14" t="s">
        <v>56</v>
      </c>
      <c r="E3" t="str">
        <f>CommentMaster[[#This Row],[코드]] &amp; " / " &amp; CommentMaster[[#This Row],[Comment 내용]]</f>
        <v xml:space="preserve">ELEC-0120 / S/T or OBT Surveyor 참석 </v>
      </c>
    </row>
    <row r="4" spans="1:5" x14ac:dyDescent="0.45">
      <c r="A4" s="14" t="s">
        <v>54</v>
      </c>
      <c r="B4" t="s">
        <v>91</v>
      </c>
      <c r="C4" s="14" t="s">
        <v>94</v>
      </c>
      <c r="D4" s="14" t="s">
        <v>56</v>
      </c>
      <c r="E4" t="str">
        <f>CommentMaster[[#This Row],[코드]] &amp; " / " &amp; CommentMaster[[#This Row],[Comment 내용]]</f>
        <v xml:space="preserve">ELEC-0121 / S/T or OBTpower fail test </v>
      </c>
    </row>
    <row r="5" spans="1:5" x14ac:dyDescent="0.45">
      <c r="A5" s="14" t="s">
        <v>55</v>
      </c>
      <c r="B5" t="s">
        <v>92</v>
      </c>
      <c r="C5" s="14" t="s">
        <v>94</v>
      </c>
      <c r="D5" s="14" t="s">
        <v>56</v>
      </c>
      <c r="E5" t="str">
        <f>CommentMaster[[#This Row],[코드]] &amp; " / " &amp; CommentMaster[[#This Row],[Comment 내용]]</f>
        <v xml:space="preserve">ELEC-0122 / OBT, S/T, FAT 결과물 Flag 제출 </v>
      </c>
    </row>
    <row r="6" spans="1:5" x14ac:dyDescent="0.45">
      <c r="A6" s="14" t="s">
        <v>57</v>
      </c>
      <c r="B6" t="s">
        <v>90</v>
      </c>
      <c r="C6" s="14" t="s">
        <v>93</v>
      </c>
      <c r="D6" s="14" t="s">
        <v>58</v>
      </c>
      <c r="E6" t="str">
        <f>CommentMaster[[#This Row],[코드]] &amp; " / " &amp; CommentMaster[[#This Row],[Comment 내용]]</f>
        <v xml:space="preserve">ELEC-0336 / S/T or OBT Surveyor 참석 </v>
      </c>
    </row>
    <row r="7" spans="1:5" x14ac:dyDescent="0.45">
      <c r="A7" s="14" t="s">
        <v>59</v>
      </c>
      <c r="B7" t="s">
        <v>91</v>
      </c>
      <c r="C7" s="14" t="s">
        <v>94</v>
      </c>
      <c r="D7" s="14" t="s">
        <v>58</v>
      </c>
      <c r="E7" t="str">
        <f>CommentMaster[[#This Row],[코드]] &amp; " / " &amp; CommentMaster[[#This Row],[Comment 내용]]</f>
        <v xml:space="preserve">ELEC-0337 / S/T or OBTpower fail test </v>
      </c>
    </row>
    <row r="8" spans="1:5" x14ac:dyDescent="0.45">
      <c r="A8" s="14" t="s">
        <v>60</v>
      </c>
      <c r="B8" t="s">
        <v>92</v>
      </c>
      <c r="C8" s="14" t="s">
        <v>94</v>
      </c>
      <c r="D8" s="14" t="s">
        <v>58</v>
      </c>
      <c r="E8" t="str">
        <f>CommentMaster[[#This Row],[코드]] &amp; " / " &amp; CommentMaster[[#This Row],[Comment 내용]]</f>
        <v xml:space="preserve">ELEC-0338 / OBT, S/T, FAT 결과물 Flag 제출 </v>
      </c>
    </row>
    <row r="9" spans="1:5" x14ac:dyDescent="0.45">
      <c r="A9" s="14" t="s">
        <v>62</v>
      </c>
      <c r="B9" t="s">
        <v>90</v>
      </c>
      <c r="C9" s="14" t="s">
        <v>93</v>
      </c>
      <c r="D9" s="14" t="s">
        <v>63</v>
      </c>
      <c r="E9" t="str">
        <f>CommentMaster[[#This Row],[코드]] &amp; " / " &amp; CommentMaster[[#This Row],[Comment 내용]]</f>
        <v xml:space="preserve">ELEC-0211 / S/T or OBT Surveyor 참석 </v>
      </c>
    </row>
    <row r="10" spans="1:5" x14ac:dyDescent="0.45">
      <c r="A10" s="14" t="s">
        <v>64</v>
      </c>
      <c r="B10" t="s">
        <v>92</v>
      </c>
      <c r="C10" s="14" t="s">
        <v>94</v>
      </c>
      <c r="D10" s="14" t="s">
        <v>67</v>
      </c>
      <c r="E10" t="str">
        <f>CommentMaster[[#This Row],[코드]] &amp; " / " &amp; CommentMaster[[#This Row],[Comment 내용]]</f>
        <v xml:space="preserve">ELEC-0169 / OBT, S/T, FAT 결과물 Flag 제출 </v>
      </c>
    </row>
    <row r="11" spans="1:5" x14ac:dyDescent="0.45">
      <c r="A11" s="14" t="s">
        <v>65</v>
      </c>
      <c r="B11" t="s">
        <v>90</v>
      </c>
      <c r="C11" s="14" t="s">
        <v>93</v>
      </c>
      <c r="D11" s="14" t="s">
        <v>76</v>
      </c>
      <c r="E11" t="str">
        <f>CommentMaster[[#This Row],[코드]] &amp; " / " &amp; CommentMaster[[#This Row],[Comment 내용]]</f>
        <v xml:space="preserve">ELEC-0170 / S/T or OBT Surveyor 참석 </v>
      </c>
    </row>
    <row r="12" spans="1:5" x14ac:dyDescent="0.45">
      <c r="A12" s="14" t="s">
        <v>66</v>
      </c>
      <c r="B12" t="s">
        <v>95</v>
      </c>
      <c r="C12" s="14" t="s">
        <v>94</v>
      </c>
      <c r="D12" s="14" t="s">
        <v>67</v>
      </c>
      <c r="E12" t="str">
        <f>CommentMaster[[#This Row],[코드]] &amp; " / " &amp; CommentMaster[[#This Row],[Comment 내용]]</f>
        <v xml:space="preserve">ELEC-0171 / HiNAS Control 도면 제공 </v>
      </c>
    </row>
    <row r="13" spans="1:5" x14ac:dyDescent="0.45">
      <c r="A13" s="14" t="s">
        <v>68</v>
      </c>
      <c r="B13" t="s">
        <v>90</v>
      </c>
      <c r="C13" s="14" t="s">
        <v>93</v>
      </c>
      <c r="D13" s="14" t="s">
        <v>72</v>
      </c>
      <c r="E13" t="str">
        <f>CommentMaster[[#This Row],[코드]] &amp; " / " &amp; CommentMaster[[#This Row],[Comment 내용]]</f>
        <v xml:space="preserve">ELEC-0130 / S/T or OBT Surveyor 참석 </v>
      </c>
    </row>
    <row r="14" spans="1:5" x14ac:dyDescent="0.45">
      <c r="A14" s="14" t="s">
        <v>69</v>
      </c>
      <c r="B14" t="s">
        <v>96</v>
      </c>
      <c r="C14" s="14" t="s">
        <v>94</v>
      </c>
      <c r="D14" s="14" t="s">
        <v>72</v>
      </c>
      <c r="E14" t="str">
        <f>CommentMaster[[#This Row],[코드]] &amp; " / " &amp; CommentMaster[[#This Row],[Comment 내용]]</f>
        <v>ELEC-0131 / OBT, S/T, FAT 결과물 Flag 제출 for 3531,3532</v>
      </c>
    </row>
    <row r="15" spans="1:5" x14ac:dyDescent="0.45">
      <c r="A15" s="14" t="s">
        <v>70</v>
      </c>
      <c r="B15" t="s">
        <v>97</v>
      </c>
      <c r="C15" s="14" t="s">
        <v>94</v>
      </c>
      <c r="D15" s="14" t="s">
        <v>72</v>
      </c>
      <c r="E15" t="str">
        <f>CommentMaster[[#This Row],[코드]] &amp; " / " &amp; CommentMaster[[#This Row],[Comment 내용]]</f>
        <v>ELEC-0132 / OBT, S/T, FAT 결과물 Flag 제출 for 3503, 3504</v>
      </c>
    </row>
    <row r="16" spans="1:5" x14ac:dyDescent="0.45">
      <c r="A16" s="14" t="s">
        <v>71</v>
      </c>
      <c r="B16" s="20" t="s">
        <v>89</v>
      </c>
      <c r="C16" s="14" t="s">
        <v>94</v>
      </c>
      <c r="D16" s="14" t="s">
        <v>72</v>
      </c>
      <c r="E16" t="str">
        <f>CommentMaster[[#This Row],[코드]] &amp; " / " &amp; CommentMaster[[#This Row],[Comment 내용]]</f>
        <v>ELEC-0133 /  IACS UR E27 related to cyber resilience requirements 문서 일치 확인</v>
      </c>
    </row>
    <row r="17" spans="1:5" x14ac:dyDescent="0.45">
      <c r="A17" s="14" t="s">
        <v>65</v>
      </c>
      <c r="B17" s="20" t="s">
        <v>98</v>
      </c>
      <c r="C17" s="14" t="s">
        <v>94</v>
      </c>
      <c r="D17" s="14" t="s">
        <v>77</v>
      </c>
      <c r="E17" t="str">
        <f>CommentMaster[[#This Row],[코드]] &amp; " / " &amp; CommentMaster[[#This Row],[Comment 내용]]</f>
        <v>ELEC-0170 / 문서 제출 요청(Quality Plan, System description, Management of proedure)</v>
      </c>
    </row>
    <row r="18" spans="1:5" x14ac:dyDescent="0.45">
      <c r="A18" s="14" t="s">
        <v>66</v>
      </c>
      <c r="B18" s="20" t="s">
        <v>99</v>
      </c>
      <c r="C18" s="14" t="s">
        <v>94</v>
      </c>
      <c r="D18" s="14" t="s">
        <v>77</v>
      </c>
      <c r="E18" t="str">
        <f>CommentMaster[[#This Row],[코드]] &amp; " / " &amp; CommentMaster[[#This Row],[Comment 내용]]</f>
        <v>ELEC-0171 / 문서 제출 요청(CBS Inventory,Topology diagram)</v>
      </c>
    </row>
    <row r="19" spans="1:5" x14ac:dyDescent="0.45">
      <c r="A19" s="14" t="s">
        <v>73</v>
      </c>
      <c r="B19" s="20" t="s">
        <v>100</v>
      </c>
      <c r="C19" s="14" t="s">
        <v>94</v>
      </c>
      <c r="D19" s="14" t="s">
        <v>77</v>
      </c>
      <c r="E19" t="str">
        <f>CommentMaster[[#This Row],[코드]] &amp; " / " &amp; CommentMaster[[#This Row],[Comment 내용]]</f>
        <v>ELEC-0172 / 문서 제출 요청(FAT)</v>
      </c>
    </row>
    <row r="20" spans="1:5" x14ac:dyDescent="0.45">
      <c r="A20" s="14" t="s">
        <v>74</v>
      </c>
      <c r="B20" t="s">
        <v>92</v>
      </c>
      <c r="C20" s="14" t="s">
        <v>94</v>
      </c>
      <c r="D20" s="14" t="s">
        <v>77</v>
      </c>
      <c r="E20" t="str">
        <f>CommentMaster[[#This Row],[코드]] &amp; " / " &amp; CommentMaster[[#This Row],[Comment 내용]]</f>
        <v xml:space="preserve">ELEC-0173 / OBT, S/T, FAT 결과물 Flag 제출 </v>
      </c>
    </row>
    <row r="21" spans="1:5" x14ac:dyDescent="0.45">
      <c r="A21" s="14" t="s">
        <v>75</v>
      </c>
      <c r="B21" t="s">
        <v>90</v>
      </c>
      <c r="C21" s="14" t="s">
        <v>93</v>
      </c>
      <c r="D21" s="14" t="s">
        <v>77</v>
      </c>
      <c r="E21" t="str">
        <f>CommentMaster[[#This Row],[코드]] &amp; " / " &amp; CommentMaster[[#This Row],[Comment 내용]]</f>
        <v xml:space="preserve">ELEC-0174 / S/T or OBT Surveyor 참석 </v>
      </c>
    </row>
    <row r="22" spans="1:5" x14ac:dyDescent="0.45">
      <c r="A22" s="14" t="s">
        <v>78</v>
      </c>
      <c r="B22" s="20" t="s">
        <v>89</v>
      </c>
      <c r="C22" s="14" t="s">
        <v>94</v>
      </c>
      <c r="D22" s="21" t="s">
        <v>82</v>
      </c>
      <c r="E22" t="str">
        <f>CommentMaster[[#This Row],[코드]] &amp; " / " &amp; CommentMaster[[#This Row],[Comment 내용]]</f>
        <v>ELEC-0250 /  IACS UR E27 related to cyber resilience requirements 문서 일치 확인</v>
      </c>
    </row>
    <row r="23" spans="1:5" x14ac:dyDescent="0.45">
      <c r="A23" s="14" t="s">
        <v>79</v>
      </c>
      <c r="B23" t="s">
        <v>91</v>
      </c>
      <c r="C23" s="14" t="s">
        <v>94</v>
      </c>
      <c r="D23" s="21" t="s">
        <v>82</v>
      </c>
      <c r="E23" t="str">
        <f>CommentMaster[[#This Row],[코드]] &amp; " / " &amp; CommentMaster[[#This Row],[Comment 내용]]</f>
        <v xml:space="preserve">ELEC-0251 / S/T or OBTpower fail test </v>
      </c>
    </row>
    <row r="24" spans="1:5" x14ac:dyDescent="0.45">
      <c r="A24" s="14" t="s">
        <v>80</v>
      </c>
      <c r="B24" t="s">
        <v>92</v>
      </c>
      <c r="C24" s="14" t="s">
        <v>94</v>
      </c>
      <c r="D24" s="21" t="s">
        <v>82</v>
      </c>
      <c r="E24" t="str">
        <f>CommentMaster[[#This Row],[코드]] &amp; " / " &amp; CommentMaster[[#This Row],[Comment 내용]]</f>
        <v xml:space="preserve">ELEC-0252 / OBT, S/T, FAT 결과물 Flag 제출 </v>
      </c>
    </row>
    <row r="25" spans="1:5" x14ac:dyDescent="0.45">
      <c r="A25" s="14" t="s">
        <v>81</v>
      </c>
      <c r="B25" t="s">
        <v>90</v>
      </c>
      <c r="C25" s="14" t="s">
        <v>93</v>
      </c>
      <c r="D25" s="21" t="s">
        <v>82</v>
      </c>
      <c r="E25" t="str">
        <f>CommentMaster[[#This Row],[코드]] &amp; " / " &amp; CommentMaster[[#This Row],[Comment 내용]]</f>
        <v xml:space="preserve">ELEC-0253 / S/T or OBT Surveyor 참석 </v>
      </c>
    </row>
    <row r="26" spans="1:5" x14ac:dyDescent="0.45">
      <c r="A26" s="14" t="s">
        <v>83</v>
      </c>
      <c r="B26" t="s">
        <v>90</v>
      </c>
      <c r="C26" s="14" t="s">
        <v>93</v>
      </c>
      <c r="D26" s="14" t="s">
        <v>84</v>
      </c>
      <c r="E26" t="str">
        <f>CommentMaster[[#This Row],[코드]] &amp; " / " &amp; CommentMaster[[#This Row],[Comment 내용]]</f>
        <v xml:space="preserve">ELEC-0101 / S/T or OBT Surveyor 참석 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D90D0F94733F44B8E92DD98AE1F1581" ma:contentTypeVersion="24" ma:contentTypeDescription="새 문서를 만듭니다." ma:contentTypeScope="" ma:versionID="18a57ead5f081f6caef73fe7c8c90119">
  <xsd:schema xmlns:xsd="http://www.w3.org/2001/XMLSchema" xmlns:xs="http://www.w3.org/2001/XMLSchema" xmlns:p="http://schemas.microsoft.com/office/2006/metadata/properties" xmlns:ns2="24019410-d1d0-42fe-b6da-bfb21a3ee566" xmlns:ns3="f1fa6c51-b02d-4139-aafb-3ade645604da" targetNamespace="http://schemas.microsoft.com/office/2006/metadata/properties" ma:root="true" ma:fieldsID="0da3ca81ab5836fd408cda0bb74f2f46" ns2:_="" ns3:_="">
    <xsd:import namespace="24019410-d1d0-42fe-b6da-bfb21a3ee566"/>
    <xsd:import namespace="f1fa6c51-b02d-4139-aafb-3ade645604da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Thumbnail" minOccurs="0"/>
                <xsd:element ref="ns2:MediaServiceBillingMetadata" minOccurs="0"/>
                <xsd:element ref="ns2:AS_xc5c5__xccb4__xbe0c__xb85c__xc15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019410-d1d0-42fe-b6da-bfb21a3ee566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8" nillable="true" ma:displayName="사인 오프 상태" ma:internalName="_xc0ac__xc778__x0020__xc624__xd504__x0020__xc0c1__xd0dc_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이미지 태그" ma:readOnly="false" ma:fieldId="{5cf76f15-5ced-4ddc-b409-7134ff3c332f}" ma:taxonomyMulti="true" ma:sspId="f920a6b6-d301-4231-ae99-8c04d2adc0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humbnail" ma:index="27" nillable="true" ma:displayName="Thumbnail" ma:format="Thumbnail" ma:internalName="Thumbnail">
      <xsd:simpleType>
        <xsd:restriction base="dms:Unknown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AS_xc5c5__xccb4__xbe0c__xb85c__xc154_" ma:index="29" nillable="true" ma:displayName="AS 업체 브로셔 " ma:format="Dropdown" ma:internalName="AS_xc5c5__xccb4__xbe0c__xb85c__xc15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a6c51-b02d-4139-aafb-3ade645604d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1d8a1fc-1978-48f3-8f74-297a766dc28d}" ma:internalName="TaxCatchAll" ma:showField="CatchAllData" ma:web="f1fa6c51-b02d-4139-aafb-3ade6456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019410-d1d0-42fe-b6da-bfb21a3ee566">
      <Terms xmlns="http://schemas.microsoft.com/office/infopath/2007/PartnerControls"/>
    </lcf76f155ced4ddcb4097134ff3c332f>
    <Thumbnail xmlns="24019410-d1d0-42fe-b6da-bfb21a3ee566" xsi:nil="true"/>
    <AS_xc5c5__xccb4__xbe0c__xb85c__xc154_ xmlns="24019410-d1d0-42fe-b6da-bfb21a3ee566" xsi:nil="true"/>
    <_Flow_SignoffStatus xmlns="24019410-d1d0-42fe-b6da-bfb21a3ee566" xsi:nil="true"/>
    <TaxCatchAll xmlns="f1fa6c51-b02d-4139-aafb-3ade645604da" xsi:nil="true"/>
  </documentManagement>
</p:properties>
</file>

<file path=customXml/itemProps1.xml><?xml version="1.0" encoding="utf-8"?>
<ds:datastoreItem xmlns:ds="http://schemas.openxmlformats.org/officeDocument/2006/customXml" ds:itemID="{E445043F-591B-4D69-8FC7-1C9C028B39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019410-d1d0-42fe-b6da-bfb21a3ee566"/>
    <ds:schemaRef ds:uri="f1fa6c51-b02d-4139-aafb-3ade645604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835F12-CFCE-4A41-95E4-431DD0865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7DA2EE-3239-4585-9B78-F4E53B842CB7}">
  <ds:schemaRefs>
    <ds:schemaRef ds:uri="http://schemas.microsoft.com/office/2006/metadata/properties"/>
    <ds:schemaRef ds:uri="http://schemas.microsoft.com/office/infopath/2007/PartnerControls"/>
    <ds:schemaRef ds:uri="24019410-d1d0-42fe-b6da-bfb21a3ee566"/>
    <ds:schemaRef ds:uri="f1fa6c51-b02d-4139-aafb-3ade645604da"/>
  </ds:schemaRefs>
</ds:datastoreItem>
</file>

<file path=docMetadata/LabelInfo.xml><?xml version="1.0" encoding="utf-8"?>
<clbl:labelList xmlns:clbl="http://schemas.microsoft.com/office/2020/mipLabelMetadata">
  <clbl:label id="{bad320f5-2bb6-4079-b184-1296498dd694}" enabled="1" method="Privileged" siteId="{48c3cf2c-29be-407f-80f9-b5dc00c35cd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ABS</vt:lpstr>
      <vt:lpstr>Comments</vt:lpstr>
      <vt:lpstr>Comment Master</vt:lpstr>
      <vt:lpstr>CommentList</vt:lpstr>
      <vt:lpstr>ABS!Print_Area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Sangdeok Choi(최상덕)</dc:creator>
  <cp:lastModifiedBy>Seunghyun Woo(우승현)</cp:lastModifiedBy>
  <cp:lastPrinted>2025-10-21T02:00:53Z</cp:lastPrinted>
  <dcterms:created xsi:type="dcterms:W3CDTF">2025-08-14T04:29:58Z</dcterms:created>
  <dcterms:modified xsi:type="dcterms:W3CDTF">2026-05-18T07:17:02Z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0x010100FD90D0F94733F44B8E92DD98AE1F1581</vt:lpwstr>
  </property>
</Properties>
</file>