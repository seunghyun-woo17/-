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seunghyunwoo\Desktop\github\SCMAUTO\구매 업무 자동화\BOM\"/>
    </mc:Choice>
  </mc:AlternateContent>
  <xr:revisionPtr revIDLastSave="0" documentId="13_ncr:1_{E1E02A93-47A6-4F1A-8484-BCF4253E9004}" xr6:coauthVersionLast="47" xr6:coauthVersionMax="47" xr10:uidLastSave="{00000000-0000-0000-0000-000000000000}"/>
  <bookViews>
    <workbookView xWindow="38280" yWindow="3780" windowWidth="29040" windowHeight="15720" xr2:uid="{652A96A7-B3A7-4977-8216-1E6948D08560}"/>
  </bookViews>
  <sheets>
    <sheet name="파싱용" sheetId="3" r:id="rId1"/>
    <sheet name="BOM_(신조) HiNAS Nav" sheetId="4" r:id="rId2"/>
    <sheet name="BOM_(신조) HiNAS Nav DOM" sheetId="5" r:id="rId3"/>
    <sheet name="BOM_(신조) HiNAS Control" sheetId="6" r:id="rId4"/>
    <sheet name="BOM_(신조) HiNAS Con V2" sheetId="7" r:id="rId5"/>
    <sheet name="BOM_(신조) HiNAS SVM" sheetId="8" r:id="rId6"/>
    <sheet name="BOM_(개조) HiNAS Con SVM" sheetId="9" r:id="rId7"/>
    <sheet name="BOM_(개조) HiNAS Control" sheetId="10" r:id="rId8"/>
    <sheet name="자재리스트" sheetId="11" r:id="rId9"/>
    <sheet name="완제품리스트" sheetId="12" r:id="rId10"/>
    <sheet name="Sheet2" sheetId="2" r:id="rId11"/>
  </sheets>
  <externalReferences>
    <externalReference r:id="rId12"/>
    <externalReference r:id="rId13"/>
    <externalReference r:id="rId14"/>
    <externalReference r:id="rId15"/>
    <externalReference r:id="rId16"/>
    <externalReference r:id="rId17"/>
    <externalReference r:id="rId18"/>
  </externalReferences>
  <definedNames>
    <definedName name="__1_____S" hidden="1">#REF!</definedName>
    <definedName name="__2___0_S" hidden="1">#REF!</definedName>
    <definedName name="__3__0_S" hidden="1">#REF!</definedName>
    <definedName name="__IntlFixup" hidden="1">TRUE</definedName>
    <definedName name="__KDX3">[0]!__KDX3</definedName>
    <definedName name="__TTT1">#REF!</definedName>
    <definedName name="_1_____S" hidden="1">#REF!</definedName>
    <definedName name="_2___0_S" hidden="1">#REF!</definedName>
    <definedName name="_3__0_S" hidden="1">#REF!</definedName>
    <definedName name="_A3">{#N/A,#N/A,FALSE,"단축1";#N/A,#N/A,FALSE,"단축2";#N/A,#N/A,FALSE,"단축3";#N/A,#N/A,FALSE,"장축";#N/A,#N/A,FALSE,"4WD"}</definedName>
    <definedName name="_DB777" hidden="1">{#N/A,#N/A,TRUE,"Y생산";#N/A,#N/A,TRUE,"Y판매";#N/A,#N/A,TRUE,"Y총물량";#N/A,#N/A,TRUE,"Y능력";#N/A,#N/A,TRUE,"YKD"}</definedName>
    <definedName name="_Dist_Bin" hidden="1">#REF!</definedName>
    <definedName name="_Dist_Values" hidden="1">#REF!</definedName>
    <definedName name="_Fill" hidden="1">#REF!</definedName>
    <definedName name="_KDX3">[0]!_KDX3</definedName>
    <definedName name="_Key1" hidden="1">#REF!</definedName>
    <definedName name="_Key2" hidden="1">#REF!</definedName>
    <definedName name="_LPS2" hidden="1">{#N/A,#N/A,FALSE,"단축1";#N/A,#N/A,FALSE,"단축2";#N/A,#N/A,FALSE,"단축3";#N/A,#N/A,FALSE,"장축";#N/A,#N/A,FALSE,"4WD"}</definedName>
    <definedName name="_Order1" hidden="1">255</definedName>
    <definedName name="_Order2" hidden="1">255</definedName>
    <definedName name="_P2" hidden="1">{#N/A,#N/A,FALSE,"단축1";#N/A,#N/A,FALSE,"단축2";#N/A,#N/A,FALSE,"단축3";#N/A,#N/A,FALSE,"장축";#N/A,#N/A,FALSE,"4WD"}</definedName>
    <definedName name="_Parse_Out" hidden="1">#REF!</definedName>
    <definedName name="_PB004" hidden="1">{#N/A,#N/A,FALSE,"단축1";#N/A,#N/A,FALSE,"단축2";#N/A,#N/A,FALSE,"단축3";#N/A,#N/A,FALSE,"장축";#N/A,#N/A,FALSE,"4WD"}</definedName>
    <definedName name="_Regression_Int">1</definedName>
    <definedName name="_SDW1" hidden="1">#REF!</definedName>
    <definedName name="_Sort" hidden="1">#REF!</definedName>
    <definedName name="_sort2" hidden="1">#REF!</definedName>
    <definedName name="_T2" hidden="1">{#N/A,#N/A,FALSE,"단축1";#N/A,#N/A,FALSE,"단축2";#N/A,#N/A,FALSE,"단축3";#N/A,#N/A,FALSE,"장축";#N/A,#N/A,FALSE,"4WD"}</definedName>
    <definedName name="_T3" hidden="1">{#N/A,#N/A,FALSE,"단축1";#N/A,#N/A,FALSE,"단축2";#N/A,#N/A,FALSE,"단축3";#N/A,#N/A,FALSE,"장축";#N/A,#N/A,FALSE,"4WD"}</definedName>
    <definedName name="_T5" hidden="1">{#N/A,#N/A,FALSE,"단축1";#N/A,#N/A,FALSE,"단축2";#N/A,#N/A,FALSE,"단축3";#N/A,#N/A,FALSE,"장축";#N/A,#N/A,FALSE,"4WD"}</definedName>
    <definedName name="_TCG04">[0]!_TCG04</definedName>
    <definedName name="_TTT1">#REF!</definedName>
    <definedName name="\\" hidden="1">{#N/A,#N/A,FALSE,"단축1";#N/A,#N/A,FALSE,"단축2";#N/A,#N/A,FALSE,"단축3";#N/A,#N/A,FALSE,"장축";#N/A,#N/A,FALSE,"4WD"}</definedName>
    <definedName name="\a">#N/A</definedName>
    <definedName name="\b">#N/A</definedName>
    <definedName name="\z">#N/A</definedName>
    <definedName name="√">"SQRT"</definedName>
    <definedName name="a">'[1]5-1차수정'!#REF!</definedName>
    <definedName name="A1_00근거" hidden="1">{#N/A,#N/A,FALSE,"단축1";#N/A,#N/A,FALSE,"단축2";#N/A,#N/A,FALSE,"단축3";#N/A,#N/A,FALSE,"장축";#N/A,#N/A,FALSE,"4WD"}</definedName>
    <definedName name="AA" hidden="1">#REF!</definedName>
    <definedName name="AAA">#REF!</definedName>
    <definedName name="AAAA">[0]!AAAA</definedName>
    <definedName name="AAAAA">[0]!AAAAA</definedName>
    <definedName name="AAAAAA">[0]!AAAAAA</definedName>
    <definedName name="AAAAAAA" hidden="1">{#N/A,#N/A,TRUE,"Y생산";#N/A,#N/A,TRUE,"Y판매";#N/A,#N/A,TRUE,"Y총물량";#N/A,#N/A,TRUE,"Y능력";#N/A,#N/A,TRUE,"YKD"}</definedName>
    <definedName name="AAAAAAAA" hidden="1">{#N/A,#N/A,FALSE,"단축1";#N/A,#N/A,FALSE,"단축2";#N/A,#N/A,FALSE,"단축3";#N/A,#N/A,FALSE,"장축";#N/A,#N/A,FALSE,"4WD"}</definedName>
    <definedName name="AAAAAAAAA">[0]!AAAAAAAAA</definedName>
    <definedName name="AABB" hidden="1">{#N/A,#N/A,FALSE,"단축1";#N/A,#N/A,FALSE,"단축2";#N/A,#N/A,FALSE,"단축3";#N/A,#N/A,FALSE,"장축";#N/A,#N/A,FALSE,"4WD"}</definedName>
    <definedName name="AAS" hidden="1">{#N/A,#N/A,FALSE,"단축1";#N/A,#N/A,FALSE,"단축2";#N/A,#N/A,FALSE,"단축3";#N/A,#N/A,FALSE,"장축";#N/A,#N/A,FALSE,"4WD"}</definedName>
    <definedName name="AB" hidden="1">{#N/A,#N/A,FALSE,"단축1";#N/A,#N/A,FALSE,"단축2";#N/A,#N/A,FALSE,"단축3";#N/A,#N/A,FALSE,"장축";#N/A,#N/A,FALSE,"4WD"}</definedName>
    <definedName name="ABD" hidden="1">{#N/A,#N/A,FALSE,"단축1";#N/A,#N/A,FALSE,"단축2";#N/A,#N/A,FALSE,"단축3";#N/A,#N/A,FALSE,"장축";#N/A,#N/A,FALSE,"4WD"}</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"C:\dnkim\협력업체\카드발송.mdb"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DSDF" hidden="1">{#N/A,#N/A,TRUE,"Y생산";#N/A,#N/A,TRUE,"Y판매";#N/A,#N/A,TRUE,"Y총물량";#N/A,#N/A,TRUE,"Y능력";#N/A,#N/A,TRUE,"YKD"}</definedName>
    <definedName name="AF" hidden="1">{#N/A,#N/A,FALSE,"단축1";#N/A,#N/A,FALSE,"단축2";#N/A,#N/A,FALSE,"단축3";#N/A,#N/A,FALSE,"장축";#N/A,#N/A,FALSE,"4WD"}</definedName>
    <definedName name="AFDAFA" hidden="1">{#N/A,#N/A,FALSE,"단축1";#N/A,#N/A,FALSE,"단축2";#N/A,#N/A,FALSE,"단축3";#N/A,#N/A,FALSE,"장축";#N/A,#N/A,FALSE,"4WD"}</definedName>
    <definedName name="AG" hidden="1">{#N/A,#N/A,FALSE,"단축1";#N/A,#N/A,FALSE,"단축2";#N/A,#N/A,FALSE,"단축3";#N/A,#N/A,FALSE,"장축";#N/A,#N/A,FALSE,"4WD"}</definedName>
    <definedName name="AH" hidden="1">{#N/A,#N/A,FALSE,"단축1";#N/A,#N/A,FALSE,"단축2";#N/A,#N/A,FALSE,"단축3";#N/A,#N/A,FALSE,"장축";#N/A,#N/A,FALSE,"4WD"}</definedName>
    <definedName name="AJ" hidden="1">{#N/A,#N/A,FALSE,"단축1";#N/A,#N/A,FALSE,"단축2";#N/A,#N/A,FALSE,"단축3";#N/A,#N/A,FALSE,"장축";#N/A,#N/A,FALSE,"4WD"}</definedName>
    <definedName name="AL" hidden="1">{#N/A,#N/A,FALSE,"단축1";#N/A,#N/A,FALSE,"단축2";#N/A,#N/A,FALSE,"단축3";#N/A,#N/A,FALSE,"장축";#N/A,#N/A,FALSE,"4WD"}</definedName>
    <definedName name="AN" hidden="1">{#N/A,#N/A,FALSE,"단축1";#N/A,#N/A,FALSE,"단축2";#N/A,#N/A,FALSE,"단축3";#N/A,#N/A,FALSE,"장축";#N/A,#N/A,FALSE,"4WD"}</definedName>
    <definedName name="anscount" hidden="1">4</definedName>
    <definedName name="AQP" hidden="1">{#N/A,#N/A,FALSE,"96 3월물량표";#N/A,#N/A,FALSE,"96 4월물량표";#N/A,#N/A,FALSE,"96 5월물량표"}</definedName>
    <definedName name="AS">[0]!AS</definedName>
    <definedName name="asasasws" hidden="1">{#N/A,#N/A,FALSE,"단축1";#N/A,#N/A,FALSE,"단축2";#N/A,#N/A,FALSE,"단축3";#N/A,#N/A,FALSE,"장축";#N/A,#N/A,FALSE,"4WD"}</definedName>
    <definedName name="ASDF">[0]!ASDF</definedName>
    <definedName name="ASDS">[0]!ASDS</definedName>
    <definedName name="ASFD" hidden="1">{#N/A,#N/A,FALSE,"인원";#N/A,#N/A,FALSE,"비용2";#N/A,#N/A,FALSE,"비용1";#N/A,#N/A,FALSE,"비용";#N/A,#N/A,FALSE,"보증2";#N/A,#N/A,FALSE,"보증1";#N/A,#N/A,FALSE,"보증";#N/A,#N/A,FALSE,"손익1";#N/A,#N/A,FALSE,"손익";#N/A,#N/A,FALSE,"부서별매출";#N/A,#N/A,FALSE,"매출"}</definedName>
    <definedName name="assdewdwe" hidden="1">{#N/A,#N/A,FALSE,"단축1";#N/A,#N/A,FALSE,"단축2";#N/A,#N/A,FALSE,"단축3";#N/A,#N/A,FALSE,"장축";#N/A,#N/A,FALSE,"4WD"}</definedName>
    <definedName name="AV" hidden="1">{#N/A,#N/A,FALSE,"단축1";#N/A,#N/A,FALSE,"단축2";#N/A,#N/A,FALSE,"단축3";#N/A,#N/A,FALSE,"장축";#N/A,#N/A,FALSE,"4WD"}</definedName>
    <definedName name="BB" hidden="1">#REF!</definedName>
    <definedName name="BHBHBBHHBBHBHBHBHB" hidden="1">{#N/A,#N/A,TRUE,"Y생산";#N/A,#N/A,TRUE,"Y판매";#N/A,#N/A,TRUE,"Y총물량";#N/A,#N/A,TRUE,"Y능력";#N/A,#N/A,TRUE,"YKD"}</definedName>
    <definedName name="btnReturn_click" localSheetId="6">[2]!btnReturn_click</definedName>
    <definedName name="btnReturn_click" localSheetId="7">[2]!btnReturn_click</definedName>
    <definedName name="btnReturn_click" localSheetId="4">[2]!btnReturn_click</definedName>
    <definedName name="btnReturn_click" localSheetId="3">[2]!btnReturn_click</definedName>
    <definedName name="btnReturn_click" localSheetId="2">[2]!btnReturn_click</definedName>
    <definedName name="btnReturn_click" localSheetId="5">[2]!btnReturn_click</definedName>
    <definedName name="btnReturn_click">[2]!btnReturn_click</definedName>
    <definedName name="btw_01">#REF!,#REF!,#REF!,#REF!,#REF!,#REF!,#REF!,#REF!,#REF!</definedName>
    <definedName name="btw_03">#REF!,#REF!,#REF!,#REF!,#REF!</definedName>
    <definedName name="CAE해석" hidden="1">{#N/A,#N/A,FALSE,"단축1";#N/A,#N/A,FALSE,"단축2";#N/A,#N/A,FALSE,"단축3";#N/A,#N/A,FALSE,"장축";#N/A,#N/A,FALSE,"4WD"}</definedName>
    <definedName name="CAPA" hidden="1">{#N/A,#N/A,FALSE,"인원";#N/A,#N/A,FALSE,"비용2";#N/A,#N/A,FALSE,"비용1";#N/A,#N/A,FALSE,"비용";#N/A,#N/A,FALSE,"보증2";#N/A,#N/A,FALSE,"보증1";#N/A,#N/A,FALSE,"보증";#N/A,#N/A,FALSE,"손익1";#N/A,#N/A,FALSE,"손익";#N/A,#N/A,FALSE,"부서별매출";#N/A,#N/A,FALSE,"매출"}</definedName>
    <definedName name="CCCC">[0]!CCCC</definedName>
    <definedName name="cccddd" hidden="1">{#N/A,#N/A,FALSE,"단축1";#N/A,#N/A,FALSE,"단축2";#N/A,#N/A,FALSE,"단축3";#N/A,#N/A,FALSE,"장축";#N/A,#N/A,FALSE,"4WD"}</definedName>
    <definedName name="ci" hidden="1">{#N/A,#N/A,FALSE,"단축1";#N/A,#N/A,FALSE,"단축2";#N/A,#N/A,FALSE,"단축3";#N/A,#N/A,FALSE,"장축";#N/A,#N/A,FALSE,"4WD"}</definedName>
    <definedName name="CONCEPT" hidden="1">{#N/A,#N/A,FALSE,"단축1";#N/A,#N/A,FALSE,"단축2";#N/A,#N/A,FALSE,"단축3";#N/A,#N/A,FALSE,"장축";#N/A,#N/A,FALSE,"4WD"}</definedName>
    <definedName name="CONFI"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ver2" hidden="1">#REF!</definedName>
    <definedName name="CR" hidden="1">{#N/A,#N/A,TRUE,"Y생산";#N/A,#N/A,TRUE,"Y판매";#N/A,#N/A,TRUE,"Y총물량";#N/A,#N/A,TRUE,"Y능력";#N/A,#N/A,TRUE,"YKD"}</definedName>
    <definedName name="CR5000실적" hidden="1">{#N/A,#N/A,TRUE,"Y생산";#N/A,#N/A,TRUE,"Y판매";#N/A,#N/A,TRUE,"Y총물량";#N/A,#N/A,TRUE,"Y능력";#N/A,#N/A,TRUE,"YKD"}</definedName>
    <definedName name="_xlnm.Criteria">'[3]Tbom-tot'!$D$310</definedName>
    <definedName name="CXVZ" hidden="1">{#N/A,#N/A,FALSE,"인원";#N/A,#N/A,FALSE,"비용2";#N/A,#N/A,FALSE,"비용1";#N/A,#N/A,FALSE,"비용";#N/A,#N/A,FALSE,"보증2";#N/A,#N/A,FALSE,"보증1";#N/A,#N/A,FALSE,"보증";#N/A,#N/A,FALSE,"손익1";#N/A,#N/A,FALSE,"손익";#N/A,#N/A,FALSE,"부서별매출";#N/A,#N/A,FALSE,"매출"}</definedName>
    <definedName name="_xlnm.Database">#REF!</definedName>
    <definedName name="DETAIL1" hidden="1">{#N/A,#N/A,FALSE,"인원";#N/A,#N/A,FALSE,"비용2";#N/A,#N/A,FALSE,"비용1";#N/A,#N/A,FALSE,"비용";#N/A,#N/A,FALSE,"보증2";#N/A,#N/A,FALSE,"보증1";#N/A,#N/A,FALSE,"보증";#N/A,#N/A,FALSE,"손익1";#N/A,#N/A,FALSE,"손익";#N/A,#N/A,FALSE,"부서별매출";#N/A,#N/A,FALSE,"매출"}</definedName>
    <definedName name="DF" hidden="1">{#N/A,#N/A,FALSE,"단축1";#N/A,#N/A,FALSE,"단축2";#N/A,#N/A,FALSE,"단축3";#N/A,#N/A,FALSE,"장축";#N/A,#N/A,FALSE,"4WD"}</definedName>
    <definedName name="DFADFAFA" hidden="1">{#N/A,#N/A,TRUE,"Y생산";#N/A,#N/A,TRUE,"Y판매";#N/A,#N/A,TRUE,"Y총물량";#N/A,#N/A,TRUE,"Y능력";#N/A,#N/A,TRUE,"YKD"}</definedName>
    <definedName name="DFAFASDFASF" hidden="1">{#N/A,#N/A,FALSE,"단축1";#N/A,#N/A,FALSE,"단축2";#N/A,#N/A,FALSE,"단축3";#N/A,#N/A,FALSE,"장축";#N/A,#N/A,FALSE,"4WD"}</definedName>
    <definedName name="DFASD" hidden="1">{#N/A,#N/A,FALSE,"인원";#N/A,#N/A,FALSE,"비용2";#N/A,#N/A,FALSE,"비용1";#N/A,#N/A,FALSE,"비용";#N/A,#N/A,FALSE,"보증2";#N/A,#N/A,FALSE,"보증1";#N/A,#N/A,FALSE,"보증";#N/A,#N/A,FALSE,"손익1";#N/A,#N/A,FALSE,"손익";#N/A,#N/A,FALSE,"부서별매출";#N/A,#N/A,FALSE,"매출"}</definedName>
    <definedName name="DIE" hidden="1">{#N/A,#N/A,FALSE,"단축1";#N/A,#N/A,FALSE,"단축2";#N/A,#N/A,FALSE,"단축3";#N/A,#N/A,FALSE,"장축";#N/A,#N/A,FALSE,"4WD"}</definedName>
    <definedName name="DIESEL" hidden="1">{#N/A,#N/A,FALSE,"단축1";#N/A,#N/A,FALSE,"단축2";#N/A,#N/A,FALSE,"단축3";#N/A,#N/A,FALSE,"장축";#N/A,#N/A,FALSE,"4WD"}</definedName>
    <definedName name="DIESELLL" hidden="1">{#N/A,#N/A,FALSE,"단축1";#N/A,#N/A,FALSE,"단축2";#N/A,#N/A,FALSE,"단축3";#N/A,#N/A,FALSE,"장축";#N/A,#N/A,FALSE,"4WD"}</definedName>
    <definedName name="DJ" hidden="1">[4]CAUDIT!#REF!</definedName>
    <definedName name="DKSLDH" hidden="1">{#N/A,#N/A,FALSE,"단축1";#N/A,#N/A,FALSE,"단축2";#N/A,#N/A,FALSE,"단축3";#N/A,#N/A,FALSE,"장축";#N/A,#N/A,FALSE,"4WD"}</definedName>
    <definedName name="DRFDGH" hidden="1">{#N/A,#N/A,FALSE,"단축1";#N/A,#N/A,FALSE,"단축2";#N/A,#N/A,FALSE,"단축3";#N/A,#N/A,FALSE,"장축";#N/A,#N/A,FALSE,"4WD"}</definedName>
    <definedName name="DRIVE" hidden="1">{#N/A,#N/A,FALSE,"단축1";#N/A,#N/A,FALSE,"단축2";#N/A,#N/A,FALSE,"단축3";#N/A,#N/A,FALSE,"장축";#N/A,#N/A,FALSE,"4WD"}</definedName>
    <definedName name="DRIVEABILITY" hidden="1">{#N/A,#N/A,FALSE,"단축1";#N/A,#N/A,FALSE,"단축2";#N/A,#N/A,FALSE,"단축3";#N/A,#N/A,FALSE,"장축";#N/A,#N/A,FALSE,"4WD"}</definedName>
    <definedName name="DS" hidden="1">{#N/A,#N/A,FALSE,"초도품";#N/A,#N/A,FALSE,"초도품 (2)";#N/A,#N/A,FALSE,"초도품 (3)";#N/A,#N/A,FALSE,"초도품 (4)";#N/A,#N/A,FALSE,"초도품 (5)";#N/A,#N/A,FALSE,"초도품 (6)"}</definedName>
    <definedName name="DSF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L" hidden="1">{#N/A,#N/A,FALSE,"단축1";#N/A,#N/A,FALSE,"단축2";#N/A,#N/A,FALSE,"단축3";#N/A,#N/A,FALSE,"장축";#N/A,#N/A,FALSE,"4WD"}</definedName>
    <definedName name="EFSD">[0]!EFSD</definedName>
    <definedName name="EF제동" hidden="1">{#N/A,#N/A,FALSE,"단축1";#N/A,#N/A,FALSE,"단축2";#N/A,#N/A,FALSE,"단축3";#N/A,#N/A,FALSE,"장축";#N/A,#N/A,FALSE,"4WD"}</definedName>
    <definedName name="EO계획" hidden="1">#REF!</definedName>
    <definedName name="ERRE" hidden="1">{#N/A,#N/A,FALSE,"단축1";#N/A,#N/A,FALSE,"단축2";#N/A,#N/A,FALSE,"단축3";#N/A,#N/A,FALSE,"장축";#N/A,#N/A,FALSE,"4WD"}</definedName>
    <definedName name="FC">[0]!FC</definedName>
    <definedName name="FC_00">0</definedName>
    <definedName name="FC_01">70700</definedName>
    <definedName name="FC_02">74700</definedName>
    <definedName name="FC_03">76300</definedName>
    <definedName name="FC_04">77700</definedName>
    <definedName name="FC_05">78200</definedName>
    <definedName name="FC_06">78300</definedName>
    <definedName name="FC_07">3900+79200</definedName>
    <definedName name="FC_99">0</definedName>
    <definedName name="FC현황">[0]!FC현황</definedName>
    <definedName name="fdffs" hidden="1">{#N/A,#N/A,FALSE,"단축1";#N/A,#N/A,FALSE,"단축2";#N/A,#N/A,FALSE,"단축3";#N/A,#N/A,FALSE,"장축";#N/A,#N/A,FALSE,"4WD"}</definedName>
    <definedName name="fdsa" hidden="1">{#N/A,#N/A,FALSE,"단축1";#N/A,#N/A,FALSE,"단축2";#N/A,#N/A,FALSE,"단축3";#N/A,#N/A,FALSE,"장축";#N/A,#N/A,FALSE,"4WD"}</definedName>
    <definedName name="fer" hidden="1">{#N/A,#N/A,FALSE,"단축1";#N/A,#N/A,FALSE,"단축2";#N/A,#N/A,FALSE,"단축3";#N/A,#N/A,FALSE,"장축";#N/A,#N/A,FALSE,"4WD"}</definedName>
    <definedName name="FF" hidden="1">#REF!</definedName>
    <definedName name="FFG" hidden="1">{#N/A,#N/A,FALSE,"단축1";#N/A,#N/A,FALSE,"단축2";#N/A,#N/A,FALSE,"단축3";#N/A,#N/A,FALSE,"장축";#N/A,#N/A,FALSE,"4WD"}</definedName>
    <definedName name="FGH" hidden="1">{#N/A,#N/A,FALSE,"단축1";#N/A,#N/A,FALSE,"단축2";#N/A,#N/A,FALSE,"단축3";#N/A,#N/A,FALSE,"장축";#N/A,#N/A,FALSE,"4WD"}</definedName>
    <definedName name="FILE" hidden="1">{#N/A,#N/A,FALSE,"단축1";#N/A,#N/A,FALSE,"단축2";#N/A,#N/A,FALSE,"단축3";#N/A,#N/A,FALSE,"장축";#N/A,#N/A,FALSE,"4WD"}</definedName>
    <definedName name="FILES" hidden="1">{#N/A,#N/A,FALSE,"단축1";#N/A,#N/A,FALSE,"단축2";#N/A,#N/A,FALSE,"단축3";#N/A,#N/A,FALSE,"장축";#N/A,#N/A,FALSE,"4WD"}</definedName>
    <definedName name="FO_00">56900</definedName>
    <definedName name="FO_01">60800</definedName>
    <definedName name="FO_02">68700</definedName>
    <definedName name="FO_03">70200</definedName>
    <definedName name="FO_04">69200</definedName>
    <definedName name="FO_05">36300</definedName>
    <definedName name="FO_06">0</definedName>
    <definedName name="FO_07">0</definedName>
    <definedName name="FO_99">23700</definedName>
    <definedName name="FREEWHEEL" hidden="1">[5]CAUDIT!#REF!</definedName>
    <definedName name="G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GGGG" hidden="1">{#N/A,#N/A,FALSE,"단축1";#N/A,#N/A,FALSE,"단축2";#N/A,#N/A,FALSE,"단축3";#N/A,#N/A,FALSE,"장축";#N/A,#N/A,FALSE,"4WD"}</definedName>
    <definedName name="GHUTGHF" hidden="1">{#N/A,#N/A,FALSE,"96 3월물량표";#N/A,#N/A,FALSE,"96 4월물량표";#N/A,#N/A,FALSE,"96 5월물량표"}</definedName>
    <definedName name="GJKADJG" hidden="1">{#N/A,#N/A,FALSE,"단축1";#N/A,#N/A,FALSE,"단축2";#N/A,#N/A,FALSE,"단축3";#N/A,#N/A,FALSE,"장축";#N/A,#N/A,FALSE,"4WD"}</definedName>
    <definedName name="H">"Text 853"</definedName>
    <definedName name="HJJ" hidden="1">{#N/A,#N/A,FALSE,"단축1";#N/A,#N/A,FALSE,"단축2";#N/A,#N/A,FALSE,"단축3";#N/A,#N/A,FALSE,"장축";#N/A,#N/A,FALSE,"4WD"}</definedName>
    <definedName name="HK">[0]!HK</definedName>
    <definedName name="HOCHING">[0]!HOCHING</definedName>
    <definedName name="ic" hidden="1">{#N/A,#N/A,FALSE,"단축1";#N/A,#N/A,FALSE,"단축2";#N/A,#N/A,FALSE,"단축3";#N/A,#N/A,FALSE,"장축";#N/A,#N/A,FALSE,"4WD"}</definedName>
    <definedName name="IMPORT">#REF!</definedName>
    <definedName name="JK" hidden="1">{#N/A,#N/A,TRUE,"Y생산";#N/A,#N/A,TRUE,"Y판매";#N/A,#N/A,TRUE,"Y총물량";#N/A,#N/A,TRUE,"Y능력";#N/A,#N/A,TRUE,"YKD"}</definedName>
    <definedName name="key" hidden="1">#REF!</definedName>
    <definedName name="KJH">[0]!KJH</definedName>
    <definedName name="KK">[0]!KK</definedName>
    <definedName name="KKJGLGK" hidden="1">{#N/A,#N/A,FALSE,"단축1";#N/A,#N/A,FALSE,"단축2";#N/A,#N/A,FALSE,"단축3";#N/A,#N/A,FALSE,"장축";#N/A,#N/A,FALSE,"4WD"}</definedName>
    <definedName name="kkkk" hidden="1">#REF!</definedName>
    <definedName name="KLKL" hidden="1">{#N/A,#N/A,FALSE,"단축1";#N/A,#N/A,FALSE,"단축2";#N/A,#N/A,FALSE,"단축3";#N/A,#N/A,FALSE,"장축";#N/A,#N/A,FALSE,"4WD"}</definedName>
    <definedName name="KSJJ"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W" hidden="1">{#N/A,#N/A,FALSE,"단축1";#N/A,#N/A,FALSE,"단축2";#N/A,#N/A,FALSE,"단축3";#N/A,#N/A,FALSE,"장축";#N/A,#N/A,FALSE,"4WD"}</definedName>
    <definedName name="KU" hidden="1">{#N/A,#N/A,TRUE,"Y생산";#N/A,#N/A,TRUE,"Y판매";#N/A,#N/A,TRUE,"Y총물량";#N/A,#N/A,TRUE,"Y능력";#N/A,#N/A,TRUE,"YKD"}</definedName>
    <definedName name="LANOS">#REF!</definedName>
    <definedName name="LC_00">281000</definedName>
    <definedName name="LC_01">258000</definedName>
    <definedName name="LC_02">256600</definedName>
    <definedName name="LC_03">256600</definedName>
    <definedName name="LC_04">118200</definedName>
    <definedName name="LC_05">0</definedName>
    <definedName name="LC_06">0</definedName>
    <definedName name="LC_07">0</definedName>
    <definedName name="LC_99">160400</definedName>
    <definedName name="LC3차서">[0]!LC3차서</definedName>
    <definedName name="LINE검토2" hidden="1">{#N/A,#N/A,TRUE,"Y생산";#N/A,#N/A,TRUE,"Y판매";#N/A,#N/A,TRUE,"Y총물량";#N/A,#N/A,TRUE,"Y능력";#N/A,#N/A,TRUE,"YKD"}</definedName>
    <definedName name="LKJ" hidden="1">{#N/A,#N/A,FALSE,"을지 (4)";#N/A,#N/A,FALSE,"을지 (5)";#N/A,#N/A,FALSE,"을지 (6)"}</definedName>
    <definedName name="lps" hidden="1">{#N/A,#N/A,FALSE,"단축1";#N/A,#N/A,FALSE,"단축2";#N/A,#N/A,FALSE,"단축3";#N/A,#N/A,FALSE,"장축";#N/A,#N/A,FALSE,"4WD"}</definedName>
    <definedName name="LUP" hidden="1">#REF!</definedName>
    <definedName name="LZ_00">15000</definedName>
    <definedName name="LZ_01">24000</definedName>
    <definedName name="LZ_02">37000</definedName>
    <definedName name="LZ_03">39500</definedName>
    <definedName name="LZ_04">34500</definedName>
    <definedName name="LZ_05">0</definedName>
    <definedName name="LZ_06">0</definedName>
    <definedName name="LZ_07">0</definedName>
    <definedName name="LZ_99">8000</definedName>
    <definedName name="Macro1">[0]!Macro1</definedName>
    <definedName name="Macro2">[0]!Macro2</definedName>
    <definedName name="Macro3">[0]!Macro3</definedName>
    <definedName name="Macro5">[0]!Macro5</definedName>
    <definedName name="MH향상" hidden="1">{#N/A,#N/A,TRUE,"Y생산";#N/A,#N/A,TRUE,"Y판매";#N/A,#N/A,TRUE,"Y총물량";#N/A,#N/A,TRUE,"Y능력";#N/A,#N/A,TRUE,"YKD"}</definedName>
    <definedName name="MIPX3">[0]!MIPX3</definedName>
    <definedName name="MMMMM" hidden="1">{#N/A,#N/A,FALSE,"단축1";#N/A,#N/A,FALSE,"단축2";#N/A,#N/A,FALSE,"단축3";#N/A,#N/A,FALSE,"장축";#N/A,#N/A,FALSE,"4WD"}</definedName>
    <definedName name="Module1.Macro1">[0]!Module1.Macro1</definedName>
    <definedName name="Module1.Macro2">[0]!Module1.Macro2</definedName>
    <definedName name="Module1.Macro3">[0]!Module1.Macro3</definedName>
    <definedName name="Module2.Macro5">[0]!Module2.Macro5</definedName>
    <definedName name="Module4.매크로10">[0]!Module4.매크로10</definedName>
    <definedName name="Module4.매크로11">[0]!Module4.매크로11</definedName>
    <definedName name="Module4.매크로12">[0]!Module4.매크로12</definedName>
    <definedName name="Module4.매크로13">[0]!Module4.매크로13</definedName>
    <definedName name="Module4.매크로14">[0]!Module4.매크로14</definedName>
    <definedName name="Module4.매크로15">[0]!Module4.매크로15</definedName>
    <definedName name="Module4.매크로16">[0]!Module4.매크로16</definedName>
    <definedName name="Module4.매크로17">[0]!Module4.매크로17</definedName>
    <definedName name="Module4.매크로6">[0]!Module4.매크로6</definedName>
    <definedName name="Module4.매크로8">[0]!Module4.매크로8</definedName>
    <definedName name="Module4.매크로9">[0]!Module4.매크로9</definedName>
    <definedName name="NEW" hidden="1">#REF!</definedName>
    <definedName name="NOTE" hidden="1">{#N/A,#N/A,FALSE,"단축1";#N/A,#N/A,FALSE,"단축2";#N/A,#N/A,FALSE,"단축3";#N/A,#N/A,FALSE,"장축";#N/A,#N/A,FALSE,"4WD"}</definedName>
    <definedName name="OOO" hidden="1">{#N/A,#N/A,TRUE,"Y생산";#N/A,#N/A,TRUE,"Y판매";#N/A,#N/A,TRUE,"Y총물량";#N/A,#N/A,TRUE,"Y능력";#N/A,#N/A,TRUE,"YKD"}</definedName>
    <definedName name="PAD">[0]!PAD</definedName>
    <definedName name="PADWN" hidden="1">#REF!</definedName>
    <definedName name="PARK" hidden="1">{#N/A,#N/A,FALSE,"단축1";#N/A,#N/A,FALSE,"단축2";#N/A,#N/A,FALSE,"단축3";#N/A,#N/A,FALSE,"장축";#N/A,#N/A,FALSE,"4WD"}</definedName>
    <definedName name="PART"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p" hidden="1">#REF!</definedName>
    <definedName name="PPK" hidden="1">{#N/A,#N/A,FALSE,"96 3월물량표";#N/A,#N/A,FALSE,"96 4월물량표";#N/A,#N/A,FALSE,"96 5월물량표"}</definedName>
    <definedName name="PPP" hidden="1">#REF!</definedName>
    <definedName name="PPPP" hidden="1">{#N/A,#N/A,FALSE,"단축1";#N/A,#N/A,FALSE,"단축2";#N/A,#N/A,FALSE,"단축3";#N/A,#N/A,FALSE,"장축";#N/A,#N/A,FALSE,"4WD"}</definedName>
    <definedName name="_xlnm.Print_Area" localSheetId="6">'BOM_(개조) HiNAS Con SVM'!$A$1:$O$37</definedName>
    <definedName name="_xlnm.Print_Area" localSheetId="7">'BOM_(개조) HiNAS Control'!$A$1:$O$26</definedName>
    <definedName name="_xlnm.Print_Area" localSheetId="4">'BOM_(신조) HiNAS Con V2'!$A$1:$O$31</definedName>
    <definedName name="_xlnm.Print_Area" localSheetId="3">'BOM_(신조) HiNAS Control'!$A$1:$O$32</definedName>
    <definedName name="_xlnm.Print_Area" localSheetId="1">'BOM_(신조) HiNAS Nav'!$A$1:$O$25</definedName>
    <definedName name="_xlnm.Print_Area" localSheetId="2">'BOM_(신조) HiNAS Nav DOM'!$A$1:$O$26</definedName>
    <definedName name="_xlnm.Print_Area" localSheetId="5">'BOM_(신조) HiNAS SVM'!$A$1:$O$26</definedName>
    <definedName name="_xlnm.Print_Area" localSheetId="9">완제품리스트!$B$1:$F$21</definedName>
    <definedName name="_xlnm.Print_Area" localSheetId="8">자재리스트!$B$1:$M$92</definedName>
    <definedName name="Print_Area_MI">'[3](BS,CF)-BACK'!#REF!</definedName>
    <definedName name="_xlnm.Print_Titles" localSheetId="8">자재리스트!$1:$3</definedName>
    <definedName name="PROTO2" hidden="1">{#N/A,#N/A,FALSE,"단축1";#N/A,#N/A,FALSE,"단축2";#N/A,#N/A,FALSE,"단축3";#N/A,#N/A,FALSE,"장축";#N/A,#N/A,FALSE,"4WD"}</definedName>
    <definedName name="PROTO3" hidden="1">{#N/A,#N/A,FALSE,"단축1";#N/A,#N/A,FALSE,"단축2";#N/A,#N/A,FALSE,"단축3";#N/A,#N/A,FALSE,"장축";#N/A,#N/A,FALSE,"4WD"}</definedName>
    <definedName name="Q">[0]!Q</definedName>
    <definedName name="QD" hidden="1">{#N/A,#N/A,FALSE,"단축1";#N/A,#N/A,FALSE,"단축2";#N/A,#N/A,FALSE,"단축3";#N/A,#N/A,FALSE,"장축";#N/A,#N/A,FALSE,"4WD"}</definedName>
    <definedName name="QE" hidden="1">{#N/A,#N/A,FALSE,"초도품";#N/A,#N/A,FALSE,"초도품 (2)";#N/A,#N/A,FALSE,"초도품 (3)";#N/A,#N/A,FALSE,"초도품 (4)";#N/A,#N/A,FALSE,"초도품 (5)";#N/A,#N/A,FALSE,"초도품 (6)"}</definedName>
    <definedName name="qltm" hidden="1">{#N/A,#N/A,TRUE,"Y생산";#N/A,#N/A,TRUE,"Y판매";#N/A,#N/A,TRUE,"Y총물량";#N/A,#N/A,TRUE,"Y능력";#N/A,#N/A,TRUE,"YKD"}</definedName>
    <definedName name="qlty" hidden="1">{#N/A,#N/A,TRUE,"Y생산";#N/A,#N/A,TRUE,"Y판매";#N/A,#N/A,TRUE,"Y총물량";#N/A,#N/A,TRUE,"Y능력";#N/A,#N/A,TRUE,"YKD"}</definedName>
    <definedName name="QQQAAASSS" hidden="1">{#N/A,#N/A,TRUE,"Y생산";#N/A,#N/A,TRUE,"Y판매";#N/A,#N/A,TRUE,"Y총물량";#N/A,#N/A,TRUE,"Y능력";#N/A,#N/A,TRUE,"YKD"}</definedName>
    <definedName name="QQQQ" hidden="1">{#N/A,#N/A,FALSE,"96 3월물량표";#N/A,#N/A,FALSE,"96 4월물량표";#N/A,#N/A,FALSE,"96 5월물량표"}</definedName>
    <definedName name="QQQQQQQ" hidden="1">{#N/A,#N/A,TRUE,"Y생산";#N/A,#N/A,TRUE,"Y판매";#N/A,#N/A,TRUE,"Y총물량";#N/A,#N/A,TRUE,"Y능력";#N/A,#N/A,TRUE,"YKD"}</definedName>
    <definedName name="QW" hidden="1">{#N/A,#N/A,FALSE,"단축1";#N/A,#N/A,FALSE,"단축2";#N/A,#N/A,FALSE,"단축3";#N/A,#N/A,FALSE,"장축";#N/A,#N/A,FALSE,"4WD"}</definedName>
    <definedName name="QWER" hidden="1">{#N/A,#N/A,FALSE,"단축1";#N/A,#N/A,FALSE,"단축2";#N/A,#N/A,FALSE,"단축3";#N/A,#N/A,FALSE,"장축";#N/A,#N/A,FALSE,"4WD"}</definedName>
    <definedName name="R_COVER" hidden="1">{#N/A,#N/A,FALSE,"단축1";#N/A,#N/A,FALSE,"단축2";#N/A,#N/A,FALSE,"단축3";#N/A,#N/A,FALSE,"장축";#N/A,#N/A,FALSE,"4WD"}</definedName>
    <definedName name="RE" hidden="1">{#N/A,#N/A,FALSE,"초도품";#N/A,#N/A,FALSE,"초도품 (2)";#N/A,#N/A,FALSE,"초도품 (3)";#N/A,#N/A,FALSE,"초도품 (4)";#N/A,#N/A,FALSE,"초도품 (5)";#N/A,#N/A,FALSE,"초도품 (6)"}</definedName>
    <definedName name="REJ정리">[0]!REJ정리</definedName>
    <definedName name="RLA">[0]!RLA</definedName>
    <definedName name="RRR">{#N/A,#N/A,FALSE,"단축1";#N/A,#N/A,FALSE,"단축2";#N/A,#N/A,FALSE,"단축3";#N/A,#N/A,FALSE,"장축";#N/A,#N/A,FALSE,"4WD"}</definedName>
    <definedName name="rrrrr" hidden="1">#REF!</definedName>
    <definedName name="SADF" hidden="1">{#N/A,#N/A,FALSE,"단축1";#N/A,#N/A,FALSE,"단축2";#N/A,#N/A,FALSE,"단축3";#N/A,#N/A,FALSE,"장축";#N/A,#N/A,FALSE,"4WD"}</definedName>
    <definedName name="SD" hidden="1">{#N/A,#N/A,FALSE,"인원";#N/A,#N/A,FALSE,"비용2";#N/A,#N/A,FALSE,"비용1";#N/A,#N/A,FALSE,"비용";#N/A,#N/A,FALSE,"보증2";#N/A,#N/A,FALSE,"보증1";#N/A,#N/A,FALSE,"보증";#N/A,#N/A,FALSE,"손익1";#N/A,#N/A,FALSE,"손익";#N/A,#N/A,FALSE,"부서별매출";#N/A,#N/A,FALSE,"매출"}</definedName>
    <definedName name="SDFL" hidden="1">{#N/A,#N/A,FALSE,"단축1";#N/A,#N/A,FALSE,"단축2";#N/A,#N/A,FALSE,"단축3";#N/A,#N/A,FALSE,"장축";#N/A,#N/A,FALSE,"4WD"}</definedName>
    <definedName name="SDFLL" hidden="1">{#N/A,#N/A,FALSE,"단축1";#N/A,#N/A,FALSE,"단축2";#N/A,#N/A,FALSE,"단축3";#N/A,#N/A,FALSE,"장축";#N/A,#N/A,FALSE,"4WD"}</definedName>
    <definedName name="SDFLLLLLL" hidden="1">{#N/A,#N/A,FALSE,"단축1";#N/A,#N/A,FALSE,"단축2";#N/A,#N/A,FALSE,"단축3";#N/A,#N/A,FALSE,"장축";#N/A,#N/A,FALSE,"4WD"}</definedName>
    <definedName name="SDFLLSD" hidden="1">{#N/A,#N/A,FALSE,"단축1";#N/A,#N/A,FALSE,"단축2";#N/A,#N/A,FALSE,"단축3";#N/A,#N/A,FALSE,"장축";#N/A,#N/A,FALSE,"4WD"}</definedName>
    <definedName name="SDSDSD" hidden="1">{#N/A,#N/A,FALSE,"단축1";#N/A,#N/A,FALSE,"단축2";#N/A,#N/A,FALSE,"단축3";#N/A,#N/A,FALSE,"장축";#N/A,#N/A,FALSE,"4WD"}</definedName>
    <definedName name="SEO">[0]!SEO</definedName>
    <definedName name="SFG" hidden="1">{#N/A,#N/A,FALSE,"단축1";#N/A,#N/A,FALSE,"단축2";#N/A,#N/A,FALSE,"단축3";#N/A,#N/A,FALSE,"장축";#N/A,#N/A,FALSE,"4WD"}</definedName>
    <definedName name="SFSFSF" hidden="1">{#N/A,#N/A,FALSE,"단축1";#N/A,#N/A,FALSE,"단축2";#N/A,#N/A,FALSE,"단축3";#N/A,#N/A,FALSE,"장축";#N/A,#N/A,FALSE,"4WD"}</definedName>
    <definedName name="SGFA" hidden="1">{#N/A,#N/A,FALSE,"인원";#N/A,#N/A,FALSE,"비용2";#N/A,#N/A,FALSE,"비용1";#N/A,#N/A,FALSE,"비용";#N/A,#N/A,FALSE,"보증2";#N/A,#N/A,FALSE,"보증1";#N/A,#N/A,FALSE,"보증";#N/A,#N/A,FALSE,"손익1";#N/A,#N/A,FALSE,"손익";#N/A,#N/A,FALSE,"부서별매출";#N/A,#N/A,FALSE,"매출"}</definedName>
    <definedName name="SHI" hidden="1">{#N/A,#N/A,FALSE,"단축1";#N/A,#N/A,FALSE,"단축2";#N/A,#N/A,FALSE,"단축3";#N/A,#N/A,FALSE,"장축";#N/A,#N/A,FALSE,"4WD"}</definedName>
    <definedName name="SM_00">63400</definedName>
    <definedName name="SM_01">77300</definedName>
    <definedName name="SM_02">82700</definedName>
    <definedName name="SM_03">85100</definedName>
    <definedName name="SM_04">85700</definedName>
    <definedName name="SM_05">78300</definedName>
    <definedName name="SM_06">3000</definedName>
    <definedName name="SM_07">0</definedName>
    <definedName name="SM_99">4000</definedName>
    <definedName name="SONATA" hidden="1">{#N/A,#N/A,FALSE,"해외크레임";#N/A,#N/A,FALSE,"ACCENT현황";#N/A,#N/A,FALSE,"AVANTE";#N/A,#N/A,FALSE,"SONATA(3)";#N/A,#N/A,FALSE,"국내크레임"}</definedName>
    <definedName name="SR_00">32600</definedName>
    <definedName name="SR_01">38500</definedName>
    <definedName name="SR_02">46100</definedName>
    <definedName name="SR_03">52700</definedName>
    <definedName name="SR_04">53900</definedName>
    <definedName name="SR_05">55400</definedName>
    <definedName name="SR_06">56500</definedName>
    <definedName name="SR_07">57300</definedName>
    <definedName name="SR_99">20700</definedName>
    <definedName name="SS" hidden="1">#REF!</definedName>
    <definedName name="SSDD" hidden="1">{#N/A,#N/A,FALSE,"단축1";#N/A,#N/A,FALSE,"단축2";#N/A,#N/A,FALSE,"단축3";#N/A,#N/A,FALSE,"장축";#N/A,#N/A,FALSE,"4WD"}</definedName>
    <definedName name="SW" hidden="1">{#N/A,#N/A,FALSE,"단축1";#N/A,#N/A,FALSE,"단축2";#N/A,#N/A,FALSE,"단축3";#N/A,#N/A,FALSE,"장축";#N/A,#N/A,FALSE,"4WD"}</definedName>
    <definedName name="T8D_ULEV1" hidden="1">{#N/A,#N/A,FALSE,"단축1";#N/A,#N/A,FALSE,"단축2";#N/A,#N/A,FALSE,"단축3";#N/A,#N/A,FALSE,"장축";#N/A,#N/A,FALSE,"4WD"}</definedName>
    <definedName name="TB">[0]!TB</definedName>
    <definedName name="tc" hidden="1">{#N/A,#N/A,FALSE,"단축1";#N/A,#N/A,FALSE,"단축2";#N/A,#N/A,FALSE,"단축3";#N/A,#N/A,FALSE,"장축";#N/A,#N/A,FALSE,"4WD"}</definedName>
    <definedName name="tci" hidden="1">{#N/A,#N/A,FALSE,"단축1";#N/A,#N/A,FALSE,"단축2";#N/A,#N/A,FALSE,"단축3";#N/A,#N/A,FALSE,"장축";#N/A,#N/A,FALSE,"4WD"}</definedName>
    <definedName name="TEST">#REF!</definedName>
    <definedName name="test2">#REF!</definedName>
    <definedName name="TEWR" hidden="1">{#N/A,#N/A,TRUE,"Y생산";#N/A,#N/A,TRUE,"Y판매";#N/A,#N/A,TRUE,"Y총물량";#N/A,#N/A,TRUE,"Y능력";#N/A,#N/A,TRUE,"YKD"}</definedName>
    <definedName name="THEME2" hidden="1">{#N/A,#N/A,FALSE,"96 3월물량표";#N/A,#N/A,FALSE,"96 4월물량표";#N/A,#N/A,FALSE,"96 5월물량표"}</definedName>
    <definedName name="TIBURON" hidden="1">{#N/A,#N/A,FALSE,"해외크레임";#N/A,#N/A,FALSE,"ACCENT현황";#N/A,#N/A,FALSE,"AVANTE";#N/A,#N/A,FALSE,"SONATA(3)";#N/A,#N/A,FALSE,"국내크레임"}</definedName>
    <definedName name="TLS" hidden="1">{#N/A,#N/A,FALSE,"단축1";#N/A,#N/A,FALSE,"단축2";#N/A,#N/A,FALSE,"단축3";#N/A,#N/A,FALSE,"장축";#N/A,#N/A,FALSE,"4WD"}</definedName>
    <definedName name="TM">[0]!TM</definedName>
    <definedName name="trim" hidden="1">#REF!</definedName>
    <definedName name="trim1" hidden="1">#REF!</definedName>
    <definedName name="TRIM별COST2" hidden="1">{#N/A,#N/A,FALSE,"단축1";#N/A,#N/A,FALSE,"단축2";#N/A,#N/A,FALSE,"단축3";#N/A,#N/A,FALSE,"장축";#N/A,#N/A,FALSE,"4WD"}</definedName>
    <definedName name="TTT">#REF!</definedName>
    <definedName name="UKFL" hidden="1">{#N/A,#N/A,FALSE,"단축1";#N/A,#N/A,FALSE,"단축2";#N/A,#N/A,FALSE,"단축3";#N/A,#N/A,FALSE,"장축";#N/A,#N/A,FALSE,"4WD"}</definedName>
    <definedName name="uu">[0]!uu</definedName>
    <definedName name="VZXS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E" hidden="1">{#N/A,#N/A,FALSE,"인원";#N/A,#N/A,FALSE,"비용2";#N/A,#N/A,FALSE,"비용1";#N/A,#N/A,FALSE,"비용";#N/A,#N/A,FALSE,"보증2";#N/A,#N/A,FALSE,"보증1";#N/A,#N/A,FALSE,"보증";#N/A,#N/A,FALSE,"손익1";#N/A,#N/A,FALSE,"손익";#N/A,#N/A,FALSE,"부서별매출";#N/A,#N/A,FALSE,"매출"}</definedName>
    <definedName name="WEARF" hidden="1">{#N/A,#N/A,TRUE,"Y생산";#N/A,#N/A,TRUE,"Y판매";#N/A,#N/A,TRUE,"Y총물량";#N/A,#N/A,TRUE,"Y능력";#N/A,#N/A,TRUE,"YKD"}</definedName>
    <definedName name="wrn.11." hidden="1">{#N/A,#N/A,FALSE,"해외크레임";#N/A,#N/A,FALSE,"ACCENT현황";#N/A,#N/A,FALSE,"AVANTE";#N/A,#N/A,FALSE,"SONATA(3)";#N/A,#N/A,FALSE,"국내크레임"}</definedName>
    <definedName name="wrn.345." hidden="1">{#N/A,#N/A,FALSE,"96 3월물량표";#N/A,#N/A,FALSE,"96 4월물량표";#N/A,#N/A,FALSE,"96 5월물량표"}</definedName>
    <definedName name="wrn.AU._.검사성적서." hidden="1">{#N/A,#N/A,FALSE,"을지 (4)";#N/A,#N/A,FALSE,"을지 (5)";#N/A,#N/A,FALSE,"을지 (6)"}</definedName>
    <definedName name="wrn.AU._.초도품._.보증서." hidden="1">{#N/A,#N/A,FALSE,"초도품";#N/A,#N/A,FALSE,"초도품 (2)";#N/A,#N/A,FALSE,"초도품 (3)";#N/A,#N/A,FALSE,"초도품 (4)";#N/A,#N/A,FALSE,"초도품 (5)";#N/A,#N/A,FALSE,"초도품 (6)"}</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RPT." hidden="1">{#N/A,#N/A,FALSE,"인원";#N/A,#N/A,FALSE,"비용2";#N/A,#N/A,FALSE,"비용1";#N/A,#N/A,FALSE,"비용";#N/A,#N/A,FALSE,"보증2";#N/A,#N/A,FALSE,"보증1";#N/A,#N/A,FALSE,"보증";#N/A,#N/A,FALSE,"손익1";#N/A,#N/A,FALSE,"손익";#N/A,#N/A,FALSE,"부서별매출";#N/A,#N/A,FALSE,"매출"}</definedName>
    <definedName name="wrn.Y차._.종합." hidden="1">{#N/A,#N/A,TRUE,"Y생산";#N/A,#N/A,TRUE,"Y판매";#N/A,#N/A,TRUE,"Y총물량";#N/A,#N/A,TRUE,"Y능력";#N/A,#N/A,TRUE,"YKD"}</definedName>
    <definedName name="wrn.신규dep._.full._.set." hidden="1">{#N/A,#N/A,FALSE,"신규dep";#N/A,#N/A,FALSE,"신규dep-금형상각후";#N/A,#N/A,FALSE,"신규dep-연구비상각후";#N/A,#N/A,FALSE,"신규dep-기계,공구상각후"}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hidden="1">{#N/A,#N/A,FALSE,"단축1";#N/A,#N/A,FALSE,"단축2";#N/A,#N/A,FALSE,"단축3";#N/A,#N/A,FALSE,"장축";#N/A,#N/A,FALSE,"4WD"}</definedName>
    <definedName name="X">0</definedName>
    <definedName name="XD_00">169900</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d품확일정" hidden="1">{#N/A,#N/A,FALSE,"단축1";#N/A,#N/A,FALSE,"단축2";#N/A,#N/A,FALSE,"단축3";#N/A,#N/A,FALSE,"장축";#N/A,#N/A,FALSE,"4WD"}</definedName>
    <definedName name="XSDDFASFAAF" hidden="1">{#N/A,#N/A,TRUE,"Y생산";#N/A,#N/A,TRUE,"Y판매";#N/A,#N/A,TRUE,"Y총물량";#N/A,#N/A,TRUE,"Y능력";#N/A,#N/A,TRUE,"YKD"}</definedName>
    <definedName name="YYY" hidden="1">{#N/A,#N/A,TRUE,"Y생산";#N/A,#N/A,TRUE,"Y판매";#N/A,#N/A,TRUE,"Y총물량";#N/A,#N/A,TRUE,"Y능력";#N/A,#N/A,TRUE,"YKD"}</definedName>
    <definedName name="Z_030BCFA9_A76B_11D1_B759_08000E21FF8D_.wvu.Cols" hidden="1">#REF!,#REF!,#REF!</definedName>
    <definedName name="Z_030BCFA9_A76B_11D1_B759_08000E21FF8D_.wvu.FilterData" hidden="1">#REF!</definedName>
    <definedName name="Z_030BCFA9_A76B_11D1_B759_08000E21FF8D_.wvu.PrintArea" hidden="1">#REF!</definedName>
    <definedName name="Z_030BCFA9_A76B_11D1_B759_08000E21FF8D_.wvu.PrintTitles" hidden="1">#REF!</definedName>
    <definedName name="ZDHGKSDLG" hidden="1">{#N/A,#N/A,FALSE,"인원";#N/A,#N/A,FALSE,"비용2";#N/A,#N/A,FALSE,"비용1";#N/A,#N/A,FALSE,"비용";#N/A,#N/A,FALSE,"보증2";#N/A,#N/A,FALSE,"보증1";#N/A,#N/A,FALSE,"보증";#N/A,#N/A,FALSE,"손익1";#N/A,#N/A,FALSE,"손익";#N/A,#N/A,FALSE,"부서별매출";#N/A,#N/A,FALSE,"매출"}</definedName>
    <definedName name="ZZZ" hidden="1">{#N/A,#N/A,FALSE,"단축1";#N/A,#N/A,FALSE,"단축2";#N/A,#N/A,FALSE,"단축3";#N/A,#N/A,FALSE,"장축";#N/A,#N/A,FALSE,"4WD"}</definedName>
    <definedName name="π">PI()</definedName>
    <definedName name="ㄱㄱ" hidden="1">{#N/A,#N/A,FALSE,"초도품";#N/A,#N/A,FALSE,"초도품 (2)";#N/A,#N/A,FALSE,"초도품 (3)";#N/A,#N/A,FALSE,"초도품 (4)";#N/A,#N/A,FALSE,"초도품 (5)";#N/A,#N/A,FALSE,"초도품 (6)"}</definedName>
    <definedName name="ㄱㄱㄱ" hidden="1">{#N/A,#N/A,FALSE,"단축1";#N/A,#N/A,FALSE,"단축2";#N/A,#N/A,FALSE,"단축3";#N/A,#N/A,FALSE,"장축";#N/A,#N/A,FALSE,"4WD"}</definedName>
    <definedName name="ㄱㅇ" hidden="1">{#N/A,#N/A,FALSE,"단축1";#N/A,#N/A,FALSE,"단축2";#N/A,#N/A,FALSE,"단축3";#N/A,#N/A,FALSE,"장축";#N/A,#N/A,FALSE,"4WD"}</definedName>
    <definedName name="가1" hidden="1">{#N/A,#N/A,TRUE,"Y생산";#N/A,#N/A,TRUE,"Y판매";#N/A,#N/A,TRUE,"Y총물량";#N/A,#N/A,TRUE,"Y능력";#N/A,#N/A,TRUE,"YKD"}</definedName>
    <definedName name="가2" hidden="1">{#N/A,#N/A,TRUE,"Y생산";#N/A,#N/A,TRUE,"Y판매";#N/A,#N/A,TRUE,"Y총물량";#N/A,#N/A,TRUE,"Y능력";#N/A,#N/A,TRUE,"YKD"}</definedName>
    <definedName name="가격" hidden="1">{#N/A,#N/A,FALSE,"단축1";#N/A,#N/A,FALSE,"단축2";#N/A,#N/A,FALSE,"단축3";#N/A,#N/A,FALSE,"장축";#N/A,#N/A,FALSE,"4WD"}</definedName>
    <definedName name="가나" hidden="1">{#N/A,#N/A,TRUE,"Y생산";#N/A,#N/A,TRUE,"Y판매";#N/A,#N/A,TRUE,"Y총물량";#N/A,#N/A,TRUE,"Y능력";#N/A,#N/A,TRUE,"YKD"}</definedName>
    <definedName name="가동비" hidden="1">#REF!</definedName>
    <definedName name="가동조건" hidden="1">{#N/A,#N/A,FALSE,"96 3월물량표";#N/A,#N/A,FALSE,"96 4월물량표";#N/A,#N/A,FALSE,"96 5월물량표"}</definedName>
    <definedName name="강" hidden="1">{#N/A,#N/A,FALSE,"단축1";#N/A,#N/A,FALSE,"단축2";#N/A,#N/A,FALSE,"단축3";#N/A,#N/A,FALSE,"장축";#N/A,#N/A,FALSE,"4WD"}</definedName>
    <definedName name="강강농" hidden="1">{#N/A,#N/A,FALSE,"단축1";#N/A,#N/A,FALSE,"단축2";#N/A,#N/A,FALSE,"단축3";#N/A,#N/A,FALSE,"장축";#N/A,#N/A,FALSE,"4WD"}</definedName>
    <definedName name="개발시험종합" hidden="1">#REF!</definedName>
    <definedName name="개발일정수정" hidden="1">{#N/A,#N/A,FALSE,"단축1";#N/A,#N/A,FALSE,"단축2";#N/A,#N/A,FALSE,"단축3";#N/A,#N/A,FALSE,"장축";#N/A,#N/A,FALSE,"4WD"}</definedName>
    <definedName name="개선내용" hidden="1">{#N/A,#N/A,TRUE,"Y생산";#N/A,#N/A,TRUE,"Y판매";#N/A,#N/A,TRUE,"Y총물량";#N/A,#N/A,TRUE,"Y능력";#N/A,#N/A,TRUE,"YKD"}</definedName>
    <definedName name="개선실적" hidden="1">{#N/A,#N/A,TRUE,"Y생산";#N/A,#N/A,TRUE,"Y판매";#N/A,#N/A,TRUE,"Y총물량";#N/A,#N/A,TRUE,"Y능력";#N/A,#N/A,TRUE,"YKD"}</definedName>
    <definedName name="걍" hidden="1">{#N/A,#N/A,FALSE,"단축1";#N/A,#N/A,FALSE,"단축2";#N/A,#N/A,FALSE,"단축3";#N/A,#N/A,FALSE,"장축";#N/A,#N/A,FALSE,"4WD"}</definedName>
    <definedName name="거" hidden="1">{#N/A,#N/A,FALSE,"단축1";#N/A,#N/A,FALSE,"단축2";#N/A,#N/A,FALSE,"단축3";#N/A,#N/A,FALSE,"장축";#N/A,#N/A,FALSE,"4WD"}</definedName>
    <definedName name="건">[0]!건</definedName>
    <definedName name="걸" hidden="1">{#N/A,#N/A,FALSE,"단축1";#N/A,#N/A,FALSE,"단축2";#N/A,#N/A,FALSE,"단축3";#N/A,#N/A,FALSE,"장축";#N/A,#N/A,FALSE,"4WD"}</definedName>
    <definedName name="경차" hidden="1">{#N/A,#N/A,TRUE,"Y생산";#N/A,#N/A,TRUE,"Y판매";#N/A,#N/A,TRUE,"Y총물량";#N/A,#N/A,TRUE,"Y능력";#N/A,#N/A,TRUE,"YKD"}</definedName>
    <definedName name="경합금2과운연계획" hidden="1">{#N/A,#N/A,TRUE,"Y생산";#N/A,#N/A,TRUE,"Y판매";#N/A,#N/A,TRUE,"Y총물량";#N/A,#N/A,TRUE,"Y능력";#N/A,#N/A,TRUE,"YKD"}</definedName>
    <definedName name="골" hidden="1">{#N/A,#N/A,FALSE,"단축1";#N/A,#N/A,FALSE,"단축2";#N/A,#N/A,FALSE,"단축3";#N/A,#N/A,FALSE,"장축";#N/A,#N/A,FALSE,"4WD"}</definedName>
    <definedName name="공공" hidden="1">{#N/A,#N/A,FALSE,"단축1";#N/A,#N/A,FALSE,"단축2";#N/A,#N/A,FALSE,"단축3";#N/A,#N/A,FALSE,"장축";#N/A,#N/A,FALSE,"4WD"}</definedName>
    <definedName name="공성환" hidden="1">{#N/A,#N/A,FALSE,"단축1";#N/A,#N/A,FALSE,"단축2";#N/A,#N/A,FALSE,"단축3";#N/A,#N/A,FALSE,"장축";#N/A,#N/A,FALSE,"4WD"}</definedName>
    <definedName name="공작" hidden="1">{#N/A,#N/A,FALSE,"단축1";#N/A,#N/A,FALSE,"단축2";#N/A,#N/A,FALSE,"단축3";#N/A,#N/A,FALSE,"장축";#N/A,#N/A,FALSE,"4WD"}</definedName>
    <definedName name="그냥해" hidden="1">{#N/A,#N/A,FALSE,"단축1";#N/A,#N/A,FALSE,"단축2";#N/A,#N/A,FALSE,"단축3";#N/A,#N/A,FALSE,"장축";#N/A,#N/A,FALSE,"4WD"}</definedName>
    <definedName name="근거2" hidden="1">{#N/A,#N/A,FALSE,"단축1";#N/A,#N/A,FALSE,"단축2";#N/A,#N/A,FALSE,"단축3";#N/A,#N/A,FALSE,"장축";#N/A,#N/A,FALSE,"4WD"}</definedName>
    <definedName name="금월" hidden="1">{#N/A,#N/A,TRUE,"Y생산";#N/A,#N/A,TRUE,"Y판매";#N/A,#N/A,TRUE,"Y총물량";#N/A,#N/A,TRUE,"Y능력";#N/A,#N/A,TRUE,"YKD"}</definedName>
    <definedName name="기능" hidden="1">{#N/A,#N/A,FALSE,"단축1";#N/A,#N/A,FALSE,"단축2";#N/A,#N/A,FALSE,"단축3";#N/A,#N/A,FALSE,"장축";#N/A,#N/A,FALSE,"4WD"}</definedName>
    <definedName name="기아" hidden="1">{#N/A,#N/A,FALSE,"단축1";#N/A,#N/A,FALSE,"단축2";#N/A,#N/A,FALSE,"단축3";#N/A,#N/A,FALSE,"장축";#N/A,#N/A,FALSE,"4WD"}</definedName>
    <definedName name="기준"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2">#REF!</definedName>
    <definedName name="기타1">[0]!기타1</definedName>
    <definedName name="김삿갓">[0]!김삿갓</definedName>
    <definedName name="김석빈" hidden="1">{#N/A,#N/A,FALSE,"단축1";#N/A,#N/A,FALSE,"단축2";#N/A,#N/A,FALSE,"단축3";#N/A,#N/A,FALSE,"장축";#N/A,#N/A,FALSE,"4WD"}</definedName>
    <definedName name="김영호">[0]!김영호</definedName>
    <definedName name="ㄳ" hidden="1">{#N/A,#N/A,FALSE,"단축1";#N/A,#N/A,FALSE,"단축2";#N/A,#N/A,FALSE,"단축3";#N/A,#N/A,FALSE,"장축";#N/A,#N/A,FALSE,"4WD"}</definedName>
    <definedName name="ㄳㄷㄳ" hidden="1">{#N/A,#N/A,FALSE,"단축1";#N/A,#N/A,FALSE,"단축2";#N/A,#N/A,FALSE,"단축3";#N/A,#N/A,FALSE,"장축";#N/A,#N/A,FALSE,"4WD"}</definedName>
    <definedName name="ㄴㄴ" hidden="1">{#N/A,#N/A,FALSE,"을지 (4)";#N/A,#N/A,FALSE,"을지 (5)";#N/A,#N/A,FALSE,"을지 (6)"}</definedName>
    <definedName name="ㄴㄴㄴㄴㄴ" hidden="1">{#N/A,#N/A,FALSE,"단축1";#N/A,#N/A,FALSE,"단축2";#N/A,#N/A,FALSE,"단축3";#N/A,#N/A,FALSE,"장축";#N/A,#N/A,FALSE,"4WD"}</definedName>
    <definedName name="ㄴㄴㅁ" hidden="1">#REF!</definedName>
    <definedName name="ㄴ내역" hidden="1">{#N/A,#N/A,FALSE,"단축1";#N/A,#N/A,FALSE,"단축2";#N/A,#N/A,FALSE,"단축3";#N/A,#N/A,FALSE,"장축";#N/A,#N/A,FALSE,"4WD"}</definedName>
    <definedName name="ㄴㅁㅇㅎㅇ롱로" hidden="1">#REF!</definedName>
    <definedName name="ㄴㅇ" hidden="1">{#N/A,#N/A,FALSE,"단축1";#N/A,#N/A,FALSE,"단축2";#N/A,#N/A,FALSE,"단축3";#N/A,#N/A,FALSE,"장축";#N/A,#N/A,FALSE,"4WD"}</definedName>
    <definedName name="ㄴㅇㄴㅇㄴ" hidden="1">{#N/A,#N/A,FALSE,"단축1";#N/A,#N/A,FALSE,"단축2";#N/A,#N/A,FALSE,"단축3";#N/A,#N/A,FALSE,"장축";#N/A,#N/A,FALSE,"4WD"}</definedName>
    <definedName name="ㄴㅇㄴㅇㄴㅇ" hidden="1">{#N/A,#N/A,FALSE,"단축1";#N/A,#N/A,FALSE,"단축2";#N/A,#N/A,FALSE,"단축3";#N/A,#N/A,FALSE,"장축";#N/A,#N/A,FALSE,"4WD"}</definedName>
    <definedName name="ㄴㅇㄴㅇㅀㄹㅇㅎㅇㅀㅎ" hidden="1">{#N/A,#N/A,FALSE,"단축1";#N/A,#N/A,FALSE,"단축2";#N/A,#N/A,FALSE,"단축3";#N/A,#N/A,FALSE,"장축";#N/A,#N/A,FALSE,"4WD"}</definedName>
    <definedName name="ㄴㅇㄹ" hidden="1">{#N/A,#N/A,FALSE,"단축1";#N/A,#N/A,FALSE,"단축2";#N/A,#N/A,FALSE,"단축3";#N/A,#N/A,FALSE,"장축";#N/A,#N/A,FALSE,"4WD"}</definedName>
    <definedName name="ㄴㅇㄹㅇㄴㄹ" hidden="1">{#N/A,#N/A,FALSE,"단축1";#N/A,#N/A,FALSE,"단축2";#N/A,#N/A,FALSE,"단축3";#N/A,#N/A,FALSE,"장축";#N/A,#N/A,FALSE,"4WD"}</definedName>
    <definedName name="ㄴㅇㅊㄹㄴㅇㄹ" hidden="1">{#N/A,#N/A,FALSE,"단축1";#N/A,#N/A,FALSE,"단축2";#N/A,#N/A,FALSE,"단축3";#N/A,#N/A,FALSE,"장축";#N/A,#N/A,FALSE,"4WD"}</definedName>
    <definedName name="ㄴㅋ" hidden="1">{#N/A,#N/A,FALSE,"단축1";#N/A,#N/A,FALSE,"단축2";#N/A,#N/A,FALSE,"단축3";#N/A,#N/A,FALSE,"장축";#N/A,#N/A,FALSE,"4WD"}</definedName>
    <definedName name="나">[0]!나</definedName>
    <definedName name="나ㅣ나ㅣㄴ">[0]!나ㅣ나ㅣㄴ</definedName>
    <definedName name="내장변경" hidden="1">{#N/A,#N/A,FALSE,"단축1";#N/A,#N/A,FALSE,"단축2";#N/A,#N/A,FALSE,"단축3";#N/A,#N/A,FALSE,"장축";#N/A,#N/A,FALSE,"4WD"}</definedName>
    <definedName name="년말수정" hidden="1">{#N/A,#N/A,TRUE,"Y생산";#N/A,#N/A,TRUE,"Y판매";#N/A,#N/A,TRUE,"Y총물량";#N/A,#N/A,TRUE,"Y능력";#N/A,#N/A,TRUE,"YKD"}</definedName>
    <definedName name="ㄷㄱㄷㄱ" hidden="1">{#N/A,#N/A,FALSE,"단축1";#N/A,#N/A,FALSE,"단축2";#N/A,#N/A,FALSE,"단축3";#N/A,#N/A,FALSE,"장축";#N/A,#N/A,FALSE,"4WD"}</definedName>
    <definedName name="ㄷㄷ" hidden="1">{#N/A,#N/A,FALSE,"단축1";#N/A,#N/A,FALSE,"단축2";#N/A,#N/A,FALSE,"단축3";#N/A,#N/A,FALSE,"장축";#N/A,#N/A,FALSE,"4WD"}</definedName>
    <definedName name="ㄷㅇ" hidden="1">{#N/A,#N/A,TRUE,"Y생산";#N/A,#N/A,TRUE,"Y판매";#N/A,#N/A,TRUE,"Y총물량";#N/A,#N/A,TRUE,"Y능력";#N/A,#N/A,TRUE,"YKD"}</definedName>
    <definedName name="단가기준" hidden="1">{#N/A,#N/A,TRUE,"Y생산";#N/A,#N/A,TRUE,"Y판매";#N/A,#N/A,TRUE,"Y총물량";#N/A,#N/A,TRUE,"Y능력";#N/A,#N/A,TRUE,"YKD"}</definedName>
    <definedName name="단기" hidden="1">{#N/A,#N/A,TRUE,"Y생산";#N/A,#N/A,TRUE,"Y판매";#N/A,#N/A,TRUE,"Y총물량";#N/A,#N/A,TRUE,"Y능력";#N/A,#N/A,TRUE,"YKD"}</definedName>
    <definedName name="단위">1000</definedName>
    <definedName name="대부" hidden="1">{#N/A,#N/A,FALSE,"단축1";#N/A,#N/A,FALSE,"단축2";#N/A,#N/A,FALSE,"단축3";#N/A,#N/A,FALSE,"장축";#N/A,#N/A,FALSE,"4WD"}</definedName>
    <definedName name="대원" hidden="1">#REF!</definedName>
    <definedName name="대원3" hidden="1">#REF!</definedName>
    <definedName name="대원4" hidden="1">#REF!</definedName>
    <definedName name="대책서" hidden="1">{#N/A,#N/A,FALSE,"단축1";#N/A,#N/A,FALSE,"단축2";#N/A,#N/A,FALSE,"단축3";#N/A,#N/A,FALSE,"장축";#N/A,#N/A,FALSE,"4WD"}</definedName>
    <definedName name="도어" hidden="1">[6]CAUDIT!#REF!</definedName>
    <definedName name="도어1" hidden="1">[6]CAUDIT!#REF!</definedName>
    <definedName name="돌" hidden="1">{#N/A,#N/A,FALSE,"단축1";#N/A,#N/A,FALSE,"단축2";#N/A,#N/A,FALSE,"단축3";#N/A,#N/A,FALSE,"장축";#N/A,#N/A,FALSE,"4WD"}</definedName>
    <definedName name="동국" hidden="1">{#N/A,#N/A,FALSE,"해외크레임";#N/A,#N/A,FALSE,"ACCENT현황";#N/A,#N/A,FALSE,"AVANTE";#N/A,#N/A,FALSE,"SONATA(3)";#N/A,#N/A,FALSE,"국내크레임"}</definedName>
    <definedName name="디젤1" hidden="1">{#N/A,#N/A,FALSE,"단축1";#N/A,#N/A,FALSE,"단축2";#N/A,#N/A,FALSE,"단축3";#N/A,#N/A,FALSE,"장축";#N/A,#N/A,FALSE,"4WD"}</definedName>
    <definedName name="ㄹㅇ" hidden="1">{#N/A,#N/A,FALSE,"단축1";#N/A,#N/A,FALSE,"단축2";#N/A,#N/A,FALSE,"단축3";#N/A,#N/A,FALSE,"장축";#N/A,#N/A,FALSE,"4WD"}</definedName>
    <definedName name="ㄹ호ㅓㅓ" hidden="1">{#N/A,#N/A,FALSE,"단축1";#N/A,#N/A,FALSE,"단축2";#N/A,#N/A,FALSE,"단축3";#N/A,#N/A,FALSE,"장축";#N/A,#N/A,FALSE,"4WD"}</definedName>
    <definedName name="로커커버" hidden="1">{#N/A,#N/A,FALSE,"단축1";#N/A,#N/A,FALSE,"단축2";#N/A,#N/A,FALSE,"단축3";#N/A,#N/A,FALSE,"장축";#N/A,#N/A,FALSE,"4WD"}</definedName>
    <definedName name="롱" hidden="1">{#N/A,#N/A,FALSE,"단축1";#N/A,#N/A,FALSE,"단축2";#N/A,#N/A,FALSE,"단축3";#N/A,#N/A,FALSE,"장축";#N/A,#N/A,FALSE,"4WD"}</definedName>
    <definedName name="료ㅕㅐㅑ" hidden="1">{#N/A,#N/A,FALSE,"단축1";#N/A,#N/A,FALSE,"단축2";#N/A,#N/A,FALSE,"단축3";#N/A,#N/A,FALSE,"장축";#N/A,#N/A,FALSE,"4WD"}</definedName>
    <definedName name="리" hidden="1">{#N/A,#N/A,FALSE,"단축1";#N/A,#N/A,FALSE,"단축2";#N/A,#N/A,FALSE,"단축3";#N/A,#N/A,FALSE,"장축";#N/A,#N/A,FALSE,"4WD"}</definedName>
    <definedName name="ㅁ" hidden="1">[0]!ㅁ</definedName>
    <definedName name="ㅁㄴㅇ" hidden="1">{#N/A,#N/A,FALSE,"단축1";#N/A,#N/A,FALSE,"단축2";#N/A,#N/A,FALSE,"단축3";#N/A,#N/A,FALSE,"장축";#N/A,#N/A,FALSE,"4WD"}</definedName>
    <definedName name="ㅁㄴㅇㄴㅇㄹㄴㅇ" hidden="1">{#N/A,#N/A,FALSE,"단축1";#N/A,#N/A,FALSE,"단축2";#N/A,#N/A,FALSE,"단축3";#N/A,#N/A,FALSE,"장축";#N/A,#N/A,FALSE,"4WD"}</definedName>
    <definedName name="ㅁㄴㅇㄹ" hidden="1">{#N/A,#N/A,FALSE,"단축1";#N/A,#N/A,FALSE,"단축2";#N/A,#N/A,FALSE,"단축3";#N/A,#N/A,FALSE,"장축";#N/A,#N/A,FALSE,"4WD"}</definedName>
    <definedName name="ㅁㄴㅇㅁㄴㅇ" hidden="1">{#N/A,#N/A,FALSE,"단축1";#N/A,#N/A,FALSE,"단축2";#N/A,#N/A,FALSE,"단축3";#N/A,#N/A,FALSE,"장축";#N/A,#N/A,FALSE,"4WD"}</definedName>
    <definedName name="ㅁㄹ" hidden="1">{#N/A,#N/A,FALSE,"단축1";#N/A,#N/A,FALSE,"단축2";#N/A,#N/A,FALSE,"단축3";#N/A,#N/A,FALSE,"장축";#N/A,#N/A,FALSE,"4WD"}</definedName>
    <definedName name="ㅁㅁㅁㅁㅁ" hidden="1">{#N/A,#N/A,FALSE,"단축1";#N/A,#N/A,FALSE,"단축2";#N/A,#N/A,FALSE,"단축3";#N/A,#N/A,FALSE,"장축";#N/A,#N/A,FALSE,"4WD"}</definedName>
    <definedName name="ㅁㅁㅁㅁㅁㅁㅁㅁㅁㅁㅁㅁㅁㅁ" hidden="1">{#N/A,#N/A,FALSE,"단축1";#N/A,#N/A,FALSE,"단축2";#N/A,#N/A,FALSE,"단축3";#N/A,#N/A,FALSE,"장축";#N/A,#N/A,FALSE,"4WD"}</definedName>
    <definedName name="ㅁㅇㄹ" hidden="1">{#N/A,#N/A,FALSE,"단축1";#N/A,#N/A,FALSE,"단축2";#N/A,#N/A,FALSE,"단축3";#N/A,#N/A,FALSE,"장축";#N/A,#N/A,FALSE,"4WD"}</definedName>
    <definedName name="ㅁㅇㅊㅁㄴㅇㄹ" hidden="1">{#N/A,#N/A,FALSE,"단축1";#N/A,#N/A,FALSE,"단축2";#N/A,#N/A,FALSE,"단축3";#N/A,#N/A,FALSE,"장축";#N/A,#N/A,FALSE,"4WD"}</definedName>
    <definedName name="ㅁㅈㅂㅈㅂ" hidden="1">#REF!</definedName>
    <definedName name="마감" hidden="1">{#N/A,#N/A,TRUE,"Y생산";#N/A,#N/A,TRUE,"Y판매";#N/A,#N/A,TRUE,"Y총물량";#N/A,#N/A,TRUE,"Y능력";#N/A,#N/A,TRUE,"YKD"}</definedName>
    <definedName name="말자" hidden="1">{#N/A,#N/A,FALSE,"단축1";#N/A,#N/A,FALSE,"단축2";#N/A,#N/A,FALSE,"단축3";#N/A,#N/A,FALSE,"장축";#N/A,#N/A,FALSE,"4WD"}</definedName>
    <definedName name="매크로123">[0]!매크로123</definedName>
    <definedName name="매크로1245">[0]!매크로1245</definedName>
    <definedName name="매크로14">[0]!매크로14</definedName>
    <definedName name="매크로15">[0]!매크로15</definedName>
    <definedName name="매크로16">[0]!매크로16</definedName>
    <definedName name="매크로17">[0]!매크로17</definedName>
    <definedName name="매크로6">[0]!매크로6</definedName>
    <definedName name="매크로7">[0]!매크로7</definedName>
    <definedName name="멍멍">[0]!멍멍</definedName>
    <definedName name="목차" hidden="1">{#N/A,#N/A,FALSE,"단축1";#N/A,#N/A,FALSE,"단축2";#N/A,#N/A,FALSE,"단축3";#N/A,#N/A,FALSE,"장축";#N/A,#N/A,FALSE,"4WD"}</definedName>
    <definedName name="무샥">[0]!무샥</definedName>
    <definedName name="무식">[0]!무식</definedName>
    <definedName name="물랴자" hidden="1">{#N/A,#N/A,TRUE,"Y생산";#N/A,#N/A,TRUE,"Y판매";#N/A,#N/A,TRUE,"Y총물량";#N/A,#N/A,TRUE,"Y능력";#N/A,#N/A,TRUE,"YKD"}</definedName>
    <definedName name="물량" hidden="1">{#N/A,#N/A,FALSE,"단축1";#N/A,#N/A,FALSE,"단축2";#N/A,#N/A,FALSE,"단축3";#N/A,#N/A,FALSE,"장축";#N/A,#N/A,FALSE,"4WD"}</definedName>
    <definedName name="물량수" hidden="1">{#N/A,#N/A,TRUE,"Y생산";#N/A,#N/A,TRUE,"Y판매";#N/A,#N/A,TRUE,"Y총물량";#N/A,#N/A,TRUE,"Y능력";#N/A,#N/A,TRUE,"YKD"}</definedName>
    <definedName name="물량수정" hidden="1">{#N/A,#N/A,TRUE,"Y생산";#N/A,#N/A,TRUE,"Y판매";#N/A,#N/A,TRUE,"Y총물량";#N/A,#N/A,TRUE,"Y능력";#N/A,#N/A,TRUE,"YKD"}</definedName>
    <definedName name="물량수정1" hidden="1">{#N/A,#N/A,TRUE,"Y생산";#N/A,#N/A,TRUE,"Y판매";#N/A,#N/A,TRUE,"Y총물량";#N/A,#N/A,TRUE,"Y능력";#N/A,#N/A,TRUE,"YKD"}</definedName>
    <definedName name="물량수정2" hidden="1">{#N/A,#N/A,TRUE,"Y생산";#N/A,#N/A,TRUE,"Y판매";#N/A,#N/A,TRUE,"Y총물량";#N/A,#N/A,TRUE,"Y능력";#N/A,#N/A,TRUE,"YKD"}</definedName>
    <definedName name="물량수정3" hidden="1">{#N/A,#N/A,TRUE,"Y생산";#N/A,#N/A,TRUE,"Y판매";#N/A,#N/A,TRUE,"Y총물량";#N/A,#N/A,TRUE,"Y능력";#N/A,#N/A,TRUE,"YKD"}</definedName>
    <definedName name="물량수정4" hidden="1">{#N/A,#N/A,TRUE,"Y생산";#N/A,#N/A,TRUE,"Y판매";#N/A,#N/A,TRUE,"Y총물량";#N/A,#N/A,TRUE,"Y능력";#N/A,#N/A,TRUE,"YKD"}</definedName>
    <definedName name="물량정" hidden="1">{#N/A,#N/A,TRUE,"Y생산";#N/A,#N/A,TRUE,"Y판매";#N/A,#N/A,TRUE,"Y총물량";#N/A,#N/A,TRUE,"Y능력";#N/A,#N/A,TRUE,"YKD"}</definedName>
    <definedName name="물량정1" hidden="1">{#N/A,#N/A,TRUE,"Y생산";#N/A,#N/A,TRUE,"Y판매";#N/A,#N/A,TRUE,"Y총물량";#N/A,#N/A,TRUE,"Y능력";#N/A,#N/A,TRUE,"YKD"}</definedName>
    <definedName name="물량조정" hidden="1">{#N/A,#N/A,TRUE,"Y생산";#N/A,#N/A,TRUE,"Y판매";#N/A,#N/A,TRUE,"Y총물량";#N/A,#N/A,TRUE,"Y능력";#N/A,#N/A,TRUE,"YKD"}</definedName>
    <definedName name="물량조정3" hidden="1">{#N/A,#N/A,TRUE,"Y생산";#N/A,#N/A,TRUE,"Y판매";#N/A,#N/A,TRUE,"Y총물량";#N/A,#N/A,TRUE,"Y능력";#N/A,#N/A,TRUE,"YKD"}</definedName>
    <definedName name="물수" hidden="1">{#N/A,#N/A,TRUE,"Y생산";#N/A,#N/A,TRUE,"Y판매";#N/A,#N/A,TRUE,"Y총물량";#N/A,#N/A,TRUE,"Y능력";#N/A,#N/A,TRUE,"YKD"}</definedName>
    <definedName name="믹믹">[0]!믹믹</definedName>
    <definedName name="ㅂㅂ" hidden="1">{#N/A,#N/A,TRUE,"Y생산";#N/A,#N/A,TRUE,"Y판매";#N/A,#N/A,TRUE,"Y총물량";#N/A,#N/A,TRUE,"Y능력";#N/A,#N/A,TRUE,"YKD"}</definedName>
    <definedName name="ㅂㅂㅂ">[0]!ㅂㅂㅂ</definedName>
    <definedName name="ㅂㅂㅂㅂㅂㅂㅂㅂㅂㅂㅂㅂㅂㅂㅂㅂㅂㅂㅂㅂㅂㅂㅂㅂㅂㅂㅂㅂㅂㅂㅂㅂ" hidden="1">{#N/A,#N/A,FALSE,"단축1";#N/A,#N/A,FALSE,"단축2";#N/A,#N/A,FALSE,"단축3";#N/A,#N/A,FALSE,"장축";#N/A,#N/A,FALSE,"4WD"}</definedName>
    <definedName name="바바라" hidden="1">{#N/A,#N/A,TRUE,"Y생산";#N/A,#N/A,TRUE,"Y판매";#N/A,#N/A,TRUE,"Y총물량";#N/A,#N/A,TRUE,"Y능력";#N/A,#N/A,TRUE,"YKD"}</definedName>
    <definedName name="바보" hidden="1">#REF!</definedName>
    <definedName name="박상현" hidden="1">{#N/A,#N/A,FALSE,"단축1";#N/A,#N/A,FALSE,"단축2";#N/A,#N/A,FALSE,"단축3";#N/A,#N/A,FALSE,"장축";#N/A,#N/A,FALSE,"4WD"}</definedName>
    <definedName name="백만">1000000</definedName>
    <definedName name="베타" hidden="1">{#N/A,#N/A,FALSE,"단축1";#N/A,#N/A,FALSE,"단축2";#N/A,#N/A,FALSE,"단축3";#N/A,#N/A,FALSE,"장축";#N/A,#N/A,FALSE,"4WD"}</definedName>
    <definedName name="변경목차" hidden="1">{#N/A,#N/A,FALSE,"단축1";#N/A,#N/A,FALSE,"단축2";#N/A,#N/A,FALSE,"단축3";#N/A,#N/A,FALSE,"장축";#N/A,#N/A,FALSE,"4WD"}</definedName>
    <definedName name="변경범위2" hidden="1">{#N/A,#N/A,FALSE,"단축1";#N/A,#N/A,FALSE,"단축2";#N/A,#N/A,FALSE,"단축3";#N/A,#N/A,FALSE,"장축";#N/A,#N/A,FALSE,"4WD"}</definedName>
    <definedName name="변동재료비2" hidden="1">{#N/A,#N/A,FALSE,"단축1";#N/A,#N/A,FALSE,"단축2";#N/A,#N/A,FALSE,"단축3";#N/A,#N/A,FALSE,"장축";#N/A,#N/A,FALSE,"4WD"}</definedName>
    <definedName name="별도">[0]!별도</definedName>
    <definedName name="보고1" hidden="1">{#N/A,#N/A,FALSE,"단축1";#N/A,#N/A,FALSE,"단축2";#N/A,#N/A,FALSE,"단축3";#N/A,#N/A,FALSE,"장축";#N/A,#N/A,FALSE,"4WD"}</definedName>
    <definedName name="보고2">[7]MH_생산!#REF!</definedName>
    <definedName name="보고서다">[0]!보고서다</definedName>
    <definedName name="분" hidden="1">{#N/A,#N/A,FALSE,"단축1";#N/A,#N/A,FALSE,"단축2";#N/A,#N/A,FALSE,"단축3";#N/A,#N/A,FALSE,"장축";#N/A,#N/A,FALSE,"4WD"}</definedName>
    <definedName name="분기별" hidden="1">{#N/A,#N/A,TRUE,"Y생산";#N/A,#N/A,TRUE,"Y판매";#N/A,#N/A,TRUE,"Y총물량";#N/A,#N/A,TRUE,"Y능력";#N/A,#N/A,TRUE,"YKD"}</definedName>
    <definedName name="빈" hidden="1">{#N/A,#N/A,FALSE,"단축1";#N/A,#N/A,FALSE,"단축2";#N/A,#N/A,FALSE,"단축3";#N/A,#N/A,FALSE,"장축";#N/A,#N/A,FALSE,"4WD"}</definedName>
    <definedName name="ㅅ" hidden="1">{#N/A,#N/A,TRUE,"Y생산";#N/A,#N/A,TRUE,"Y판매";#N/A,#N/A,TRUE,"Y총물량";#N/A,#N/A,TRUE,"Y능력";#N/A,#N/A,TRUE,"YKD"}</definedName>
    <definedName name="ㅅㅅ" hidden="1">{#N/A,#N/A,FALSE,"단축1";#N/A,#N/A,FALSE,"단축2";#N/A,#N/A,FALSE,"단축3";#N/A,#N/A,FALSE,"장축";#N/A,#N/A,FALSE,"4WD"}</definedName>
    <definedName name="사랑" hidden="1">{#N/A,#N/A,FALSE,"단축1";#N/A,#N/A,FALSE,"단축2";#N/A,#N/A,FALSE,"단축3";#N/A,#N/A,FALSE,"장축";#N/A,#N/A,FALSE,"4WD"}</definedName>
    <definedName name="사양변경내역서">[0]!사양변경내역서</definedName>
    <definedName name="삼식이">[0]!삼식이</definedName>
    <definedName name="상품성1" hidden="1">{#N/A,#N/A,FALSE,"단축1";#N/A,#N/A,FALSE,"단축2";#N/A,#N/A,FALSE,"단축3";#N/A,#N/A,FALSE,"장축";#N/A,#N/A,FALSE,"4WD"}</definedName>
    <definedName name="상품성보고" hidden="1">#REF!</definedName>
    <definedName name="새로운" hidden="1">{#N/A,#N/A,FALSE,"단축1";#N/A,#N/A,FALSE,"단축2";#N/A,#N/A,FALSE,"단축3";#N/A,#N/A,FALSE,"장축";#N/A,#N/A,FALSE,"4WD"}</definedName>
    <definedName name="새시">[0]!새시</definedName>
    <definedName name="생산TON" hidden="1">{#N/A,#N/A,TRUE,"Y생산";#N/A,#N/A,TRUE,"Y판매";#N/A,#N/A,TRUE,"Y총물량";#N/A,#N/A,TRUE,"Y능력";#N/A,#N/A,TRUE,"YKD"}</definedName>
    <definedName name="생산성향상" hidden="1">{#N/A,#N/A,TRUE,"Y생산";#N/A,#N/A,TRUE,"Y판매";#N/A,#N/A,TRUE,"Y총물량";#N/A,#N/A,TRUE,"Y능력";#N/A,#N/A,TRUE,"YKD"}</definedName>
    <definedName name="생산특장2" hidden="1">{#N/A,#N/A,TRUE,"Y생산";#N/A,#N/A,TRUE,"Y판매";#N/A,#N/A,TRUE,"Y총물량";#N/A,#N/A,TRUE,"Y능력";#N/A,#N/A,TRUE,"YKD"}</definedName>
    <definedName name="생산합격" hidden="1">{#N/A,#N/A,TRUE,"Y생산";#N/A,#N/A,TRUE,"Y판매";#N/A,#N/A,TRUE,"Y총물량";#N/A,#N/A,TRUE,"Y능력";#N/A,#N/A,TRUE,"YKD"}</definedName>
    <definedName name="샤시M">[0]!샤시M</definedName>
    <definedName name="샤시MD일">[0]!샤시MD일</definedName>
    <definedName name="석빈" hidden="1">{#N/A,#N/A,FALSE,"단축1";#N/A,#N/A,FALSE,"단축2";#N/A,#N/A,FALSE,"단축3";#N/A,#N/A,FALSE,"장축";#N/A,#N/A,FALSE,"4WD"}</definedName>
    <definedName name="선항영">[0]!선항영</definedName>
    <definedName name="설비">[0]!설비</definedName>
    <definedName name="설설" hidden="1">{#N/A,#N/A,FALSE,"단축1";#N/A,#N/A,FALSE,"단축2";#N/A,#N/A,FALSE,"단축3";#N/A,#N/A,FALSE,"장축";#N/A,#N/A,FALSE,"4WD"}</definedName>
    <definedName name="성능시험2" hidden="1">{#N/A,#N/A,FALSE,"단축1";#N/A,#N/A,FALSE,"단축2";#N/A,#N/A,FALSE,"단축3";#N/A,#N/A,FALSE,"장축";#N/A,#N/A,FALSE,"4WD"}</definedName>
    <definedName name="세부" hidden="1">{#N/A,#N/A,FALSE,"단축1";#N/A,#N/A,FALSE,"단축2";#N/A,#N/A,FALSE,"단축3";#N/A,#N/A,FALSE,"장축";#N/A,#N/A,FALSE,"4WD"}</definedName>
    <definedName name="세부내역2" hidden="1">{#N/A,#N/A,FALSE,"단축1";#N/A,#N/A,FALSE,"단축2";#N/A,#N/A,FALSE,"단축3";#N/A,#N/A,FALSE,"장축";#N/A,#N/A,FALSE,"4WD"}</definedName>
    <definedName name="셀리카" hidden="1">#REF!</definedName>
    <definedName name="소하프로젝트" hidden="1">{#N/A,#N/A,FALSE,"단축1";#N/A,#N/A,FALSE,"단축2";#N/A,#N/A,FALSE,"단축3";#N/A,#N/A,FALSE,"장축";#N/A,#N/A,FALSE,"4WD"}</definedName>
    <definedName name="송" hidden="1">{#N/A,#N/A,TRUE,"Y생산";#N/A,#N/A,TRUE,"Y판매";#N/A,#N/A,TRUE,"Y총물량";#N/A,#N/A,TRUE,"Y능력";#N/A,#N/A,TRUE,"YKD"}</definedName>
    <definedName name="송창기" hidden="1">{#N/A,#N/A,TRUE,"Y생산";#N/A,#N/A,TRUE,"Y판매";#N/A,#N/A,TRUE,"Y총물량";#N/A,#N/A,TRUE,"Y능력";#N/A,#N/A,TRUE,"YKD"}</definedName>
    <definedName name="쇼쇼쇼쇼쇼쇼쇼쇼쇼쇼" hidden="1">{#N/A,#N/A,FALSE,"단축1";#N/A,#N/A,FALSE,"단축2";#N/A,#N/A,FALSE,"단축3";#N/A,#N/A,FALSE,"장축";#N/A,#N/A,FALSE,"4WD"}</definedName>
    <definedName name="수정GH" hidden="1">{#N/A,#N/A,TRUE,"Y생산";#N/A,#N/A,TRUE,"Y판매";#N/A,#N/A,TRUE,"Y총물량";#N/A,#N/A,TRUE,"Y능력";#N/A,#N/A,TRUE,"YKD"}</definedName>
    <definedName name="수정물량" hidden="1">{#N/A,#N/A,TRUE,"Y생산";#N/A,#N/A,TRUE,"Y판매";#N/A,#N/A,TRUE,"Y총물량";#N/A,#N/A,TRUE,"Y능력";#N/A,#N/A,TRUE,"YKD"}</definedName>
    <definedName name="시간" hidden="1">{#N/A,#N/A,TRUE,"Y생산";#N/A,#N/A,TRUE,"Y판매";#N/A,#N/A,TRUE,"Y총물량";#N/A,#N/A,TRUE,"Y능력";#N/A,#N/A,TRUE,"YKD"}</definedName>
    <definedName name="시트" hidden="1">{#N/A,#N/A,FALSE,"단축1";#N/A,#N/A,FALSE,"단축2";#N/A,#N/A,FALSE,"단축3";#N/A,#N/A,FALSE,"장축";#N/A,#N/A,FALSE,"4WD"}</definedName>
    <definedName name="신뢰">[0]!신뢰</definedName>
    <definedName name="신뢰성">[0]!신뢰성</definedName>
    <definedName name="신용" hidden="1">{#N/A,#N/A,FALSE,"인원";#N/A,#N/A,FALSE,"비용2";#N/A,#N/A,FALSE,"비용1";#N/A,#N/A,FALSE,"비용";#N/A,#N/A,FALSE,"보증2";#N/A,#N/A,FALSE,"보증1";#N/A,#N/A,FALSE,"보증";#N/A,#N/A,FALSE,"손익1";#N/A,#N/A,FALSE,"손익";#N/A,#N/A,FALSE,"부서별매출";#N/A,#N/A,FALSE,"매출"}</definedName>
    <definedName name="신용1" hidden="1">{#N/A,#N/A,FALSE,"인원";#N/A,#N/A,FALSE,"비용2";#N/A,#N/A,FALSE,"비용1";#N/A,#N/A,FALSE,"비용";#N/A,#N/A,FALSE,"보증2";#N/A,#N/A,FALSE,"보증1";#N/A,#N/A,FALSE,"보증";#N/A,#N/A,FALSE,"손익1";#N/A,#N/A,FALSE,"손익";#N/A,#N/A,FALSE,"부서별매출";#N/A,#N/A,FALSE,"매출"}</definedName>
    <definedName name="신차개발" hidden="1">{#N/A,#N/A,FALSE,"단축1";#N/A,#N/A,FALSE,"단축2";#N/A,#N/A,FALSE,"단축3";#N/A,#N/A,FALSE,"장축";#N/A,#N/A,FALSE,"4WD"}</definedName>
    <definedName name="신차품질일정" hidden="1">{#N/A,#N/A,FALSE,"단축1";#N/A,#N/A,FALSE,"단축2";#N/A,#N/A,FALSE,"단축3";#N/A,#N/A,FALSE,"장축";#N/A,#N/A,FALSE,"4WD"}</definedName>
    <definedName name="신추진사업" hidden="1">{#N/A,#N/A,TRUE,"Y생산";#N/A,#N/A,TRUE,"Y판매";#N/A,#N/A,TRUE,"Y총물량";#N/A,#N/A,TRUE,"Y능력";#N/A,#N/A,TRUE,"YKD"}</definedName>
    <definedName name="실적집계" hidden="1">{#N/A,#N/A,FALSE,"단축1";#N/A,#N/A,FALSE,"단축2";#N/A,#N/A,FALSE,"단축3";#N/A,#N/A,FALSE,"장축";#N/A,#N/A,FALSE,"4WD"}</definedName>
    <definedName name="ㅇㄴㄹ" hidden="1">{#N/A,#N/A,FALSE,"단축1";#N/A,#N/A,FALSE,"단축2";#N/A,#N/A,FALSE,"단축3";#N/A,#N/A,FALSE,"장축";#N/A,#N/A,FALSE,"4WD"}</definedName>
    <definedName name="ㅇㄴㅀㅇ" hidden="1">{#N/A,#N/A,FALSE,"단축1";#N/A,#N/A,FALSE,"단축2";#N/A,#N/A,FALSE,"단축3";#N/A,#N/A,FALSE,"장축";#N/A,#N/A,FALSE,"4WD"}</definedName>
    <definedName name="ㅇㄹ" hidden="1">#REF!</definedName>
    <definedName name="ㅇㄹㅇㄹㅇㄹ">[0]!ㅇㄹㅇㄹㅇㄹ</definedName>
    <definedName name="ㅇㅁㄴㅇ" hidden="1">{#N/A,#N/A,FALSE,"단축1";#N/A,#N/A,FALSE,"단축2";#N/A,#N/A,FALSE,"단축3";#N/A,#N/A,FALSE,"장축";#N/A,#N/A,FALSE,"4WD"}</definedName>
    <definedName name="ㅇㅇ" hidden="1">{#N/A,#N/A,TRUE,"Y생산";#N/A,#N/A,TRUE,"Y판매";#N/A,#N/A,TRUE,"Y총물량";#N/A,#N/A,TRUE,"Y능력";#N/A,#N/A,TRUE,"YKD"}</definedName>
    <definedName name="ㅇㅇㅇㅇ" hidden="1">{#N/A,#N/A,FALSE,"단축1";#N/A,#N/A,FALSE,"단축2";#N/A,#N/A,FALSE,"단축3";#N/A,#N/A,FALSE,"장축";#N/A,#N/A,FALSE,"4WD"}</definedName>
    <definedName name="ㅇㅎ오" hidden="1">{#N/A,#N/A,FALSE,"단축1";#N/A,#N/A,FALSE,"단축2";#N/A,#N/A,FALSE,"단축3";#N/A,#N/A,FALSE,"장축";#N/A,#N/A,FALSE,"4WD"}</definedName>
    <definedName name="안현모" hidden="1">{#N/A,#N/A,FALSE,"단축1";#N/A,#N/A,FALSE,"단축2";#N/A,#N/A,FALSE,"단축3";#N/A,#N/A,FALSE,"장축";#N/A,#N/A,FALSE,"4WD"}</definedName>
    <definedName name="양식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에이" hidden="1">{#N/A,#N/A,TRUE,"Y생산";#N/A,#N/A,TRUE,"Y판매";#N/A,#N/A,TRUE,"Y총물량";#N/A,#N/A,TRUE,"Y능력";#N/A,#N/A,TRUE,"YKD"}</definedName>
    <definedName name="엔진" hidden="1">{#N/A,#N/A,FALSE,"단축1";#N/A,#N/A,FALSE,"단축2";#N/A,#N/A,FALSE,"단축3";#N/A,#N/A,FALSE,"장축";#N/A,#N/A,FALSE,"4WD"}</definedName>
    <definedName name="연도추정내수" hidden="1">{#N/A,#N/A,FALSE,"단축1";#N/A,#N/A,FALSE,"단축2";#N/A,#N/A,FALSE,"단축3";#N/A,#N/A,FALSE,"장축";#N/A,#N/A,FALSE,"4WD"}</definedName>
    <definedName name="연도추정유럽" hidden="1">{#N/A,#N/A,TRUE,"Y생산";#N/A,#N/A,TRUE,"Y판매";#N/A,#N/A,TRUE,"Y총물량";#N/A,#N/A,TRUE,"Y능력";#N/A,#N/A,TRUE,"YKD"}</definedName>
    <definedName name="연도추정일반" hidden="1">{#N/A,#N/A,FALSE,"단축1";#N/A,#N/A,FALSE,"단축2";#N/A,#N/A,FALSE,"단축3";#N/A,#N/A,FALSE,"장축";#N/A,#N/A,FALSE,"4WD"}</definedName>
    <definedName name="연료펌프" hidden="1">#REF!</definedName>
    <definedName name="예산" hidden="1">{#N/A,#N/A,FALSE,"단축1";#N/A,#N/A,FALSE,"단축2";#N/A,#N/A,FALSE,"단축3";#N/A,#N/A,FALSE,"장축";#N/A,#N/A,FALSE,"4WD"}</definedName>
    <definedName name="오" hidden="1">{#N/A,#N/A,FALSE,"단축1";#N/A,#N/A,FALSE,"단축2";#N/A,#N/A,FALSE,"단축3";#N/A,#N/A,FALSE,"장축";#N/A,#N/A,FALSE,"4WD"}</definedName>
    <definedName name="오성협" hidden="1">{#N/A,#N/A,TRUE,"Y생산";#N/A,#N/A,TRUE,"Y판매";#N/A,#N/A,TRUE,"Y총물량";#N/A,#N/A,TRUE,"Y능력";#N/A,#N/A,TRUE,"YKD"}</definedName>
    <definedName name="외" hidden="1">{#N/A,#N/A,FALSE,"단축1";#N/A,#N/A,FALSE,"단축2";#N/A,#N/A,FALSE,"단축3";#N/A,#N/A,FALSE,"장축";#N/A,#N/A,FALSE,"4WD"}</definedName>
    <definedName name="외주계획" hidden="1">{#N/A,#N/A,TRUE,"Y생산";#N/A,#N/A,TRUE,"Y판매";#N/A,#N/A,TRUE,"Y총물량";#N/A,#N/A,TRUE,"Y능력";#N/A,#N/A,TRUE,"YKD"}</definedName>
    <definedName name="용도차" hidden="1">{#N/A,#N/A,FALSE,"단축1";#N/A,#N/A,FALSE,"단축2";#N/A,#N/A,FALSE,"단축3";#N/A,#N/A,FALSE,"장축";#N/A,#N/A,FALSE,"4WD"}</definedName>
    <definedName name="원">1</definedName>
    <definedName name="월별정리">[0]!월별정리</definedName>
    <definedName name="유럽" hidden="1">{#N/A,#N/A,FALSE,"단축1";#N/A,#N/A,FALSE,"단축2";#N/A,#N/A,FALSE,"단축3";#N/A,#N/A,FALSE,"장축";#N/A,#N/A,FALSE,"4WD"}</definedName>
    <definedName name="의장현황">[0]!의장현황</definedName>
    <definedName name="이근" hidden="1">{#N/A,#N/A,FALSE,"단축1";#N/A,#N/A,FALSE,"단축2";#N/A,#N/A,FALSE,"단축3";#N/A,#N/A,FALSE,"장축";#N/A,#N/A,FALSE,"4WD"}</definedName>
    <definedName name="이근한" hidden="1">{#N/A,#N/A,FALSE,"단축1";#N/A,#N/A,FALSE,"단축2";#N/A,#N/A,FALSE,"단축3";#N/A,#N/A,FALSE,"장축";#N/A,#N/A,FALSE,"4WD"}</definedName>
    <definedName name="이릉" hidden="1">{#N/A,#N/A,FALSE,"단축1";#N/A,#N/A,FALSE,"단축2";#N/A,#N/A,FALSE,"단축3";#N/A,#N/A,FALSE,"장축";#N/A,#N/A,FALSE,"4WD"}</definedName>
    <definedName name="인계획" hidden="1">{#N/A,#N/A,TRUE,"Y생산";#N/A,#N/A,TRUE,"Y판매";#N/A,#N/A,TRUE,"Y총물량";#N/A,#N/A,TRUE,"Y능력";#N/A,#N/A,TRUE,"YKD"}</definedName>
    <definedName name="일이ㅏㄹ" hidden="1">{#N/A,#N/A,FALSE,"단축1";#N/A,#N/A,FALSE,"단축2";#N/A,#N/A,FALSE,"단축3";#N/A,#N/A,FALSE,"장축";#N/A,#N/A,FALSE,"4WD"}</definedName>
    <definedName name="일자별" hidden="1">{#N/A,#N/A,TRUE,"Y생산";#N/A,#N/A,TRUE,"Y판매";#N/A,#N/A,TRUE,"Y총물량";#N/A,#N/A,TRUE,"Y능력";#N/A,#N/A,TRUE,"YKD"}</definedName>
    <definedName name="임" hidden="1">{#N/A,#N/A,FALSE,"단축1";#N/A,#N/A,FALSE,"단축2";#N/A,#N/A,FALSE,"단축3";#N/A,#N/A,FALSE,"장축";#N/A,#N/A,FALSE,"4WD"}</definedName>
    <definedName name="ㅈ고모" hidden="1">{#N/A,#N/A,FALSE,"단축1";#N/A,#N/A,FALSE,"단축2";#N/A,#N/A,FALSE,"단축3";#N/A,#N/A,FALSE,"장축";#N/A,#N/A,FALSE,"4WD"}</definedName>
    <definedName name="ㅈㄴㅇㄹㅊㅁ" hidden="1">{#N/A,#N/A,FALSE,"단축1";#N/A,#N/A,FALSE,"단축2";#N/A,#N/A,FALSE,"단축3";#N/A,#N/A,FALSE,"장축";#N/A,#N/A,FALSE,"4WD"}</definedName>
    <definedName name="ㅈㅈ" hidden="1">{#N/A,#N/A,FALSE,"을지 (4)";#N/A,#N/A,FALSE,"을지 (5)";#N/A,#N/A,FALSE,"을지 (6)"}</definedName>
    <definedName name="자잦" hidden="1">{#N/A,#N/A,FALSE,"단축1";#N/A,#N/A,FALSE,"단축2";#N/A,#N/A,FALSE,"단축3";#N/A,#N/A,FALSE,"장축";#N/A,#N/A,FALSE,"4WD"}</definedName>
    <definedName name="자재기준" hidden="1">{#N/A,#N/A,TRUE,"Y생산";#N/A,#N/A,TRUE,"Y판매";#N/A,#N/A,TRUE,"Y총물량";#N/A,#N/A,TRUE,"Y능력";#N/A,#N/A,TRUE,"YKD"}</definedName>
    <definedName name="재털이">[0]!재털이</definedName>
    <definedName name="전장" hidden="1">{#N/A,#N/A,FALSE,"단축1";#N/A,#N/A,FALSE,"단축2";#N/A,#N/A,FALSE,"단축3";#N/A,#N/A,FALSE,"장축";#N/A,#N/A,FALSE,"4WD"}</definedName>
    <definedName name="전장1" hidden="1">{#N/A,#N/A,FALSE,"단축1";#N/A,#N/A,FALSE,"단축2";#N/A,#N/A,FALSE,"단축3";#N/A,#N/A,FALSE,"장축";#N/A,#N/A,FALSE,"4WD"}</definedName>
    <definedName name="전체현황" hidden="1">{#N/A,#N/A,FALSE,"단축1";#N/A,#N/A,FALSE,"단축2";#N/A,#N/A,FALSE,"단축3";#N/A,#N/A,FALSE,"장축";#N/A,#N/A,FALSE,"4WD"}</definedName>
    <definedName name="전체현황1">[0]!전체현황1</definedName>
    <definedName name="접대비">[0]!접대비</definedName>
    <definedName name="정비대수" hidden="1">{#N/A,#N/A,FALSE,"인원";#N/A,#N/A,FALSE,"비용2";#N/A,#N/A,FALSE,"비용1";#N/A,#N/A,FALSE,"비용";#N/A,#N/A,FALSE,"보증2";#N/A,#N/A,FALSE,"보증1";#N/A,#N/A,FALSE,"보증";#N/A,#N/A,FALSE,"손익1";#N/A,#N/A,FALSE,"손익";#N/A,#N/A,FALSE,"부서별매출";#N/A,#N/A,FALSE,"매출"}</definedName>
    <definedName name="정수용" hidden="1">{#N/A,#N/A,TRUE,"Y생산";#N/A,#N/A,TRUE,"Y판매";#N/A,#N/A,TRUE,"Y총물량";#N/A,#N/A,TRUE,"Y능력";#N/A,#N/A,TRUE,"YKD"}</definedName>
    <definedName name="정종구">[0]!정종구</definedName>
    <definedName name="젖" hidden="1">{#N/A,#N/A,FALSE,"단축1";#N/A,#N/A,FALSE,"단축2";#N/A,#N/A,FALSE,"단축3";#N/A,#N/A,FALSE,"장축";#N/A,#N/A,FALSE,"4WD"}</definedName>
    <definedName name="좋합" hidden="1">{#N/A,#N/A,FALSE,"단축1";#N/A,#N/A,FALSE,"단축2";#N/A,#N/A,FALSE,"단축3";#N/A,#N/A,FALSE,"장축";#N/A,#N/A,FALSE,"4WD"}</definedName>
    <definedName name="주" hidden="1">{#N/A,#N/A,FALSE,"단축1";#N/A,#N/A,FALSE,"단축2";#N/A,#N/A,FALSE,"단축3";#N/A,#N/A,FALSE,"장축";#N/A,#N/A,FALSE,"4WD"}</definedName>
    <definedName name="주요" hidden="1">{#N/A,#N/A,TRUE,"Y생산";#N/A,#N/A,TRUE,"Y판매";#N/A,#N/A,TRUE,"Y총물량";#N/A,#N/A,TRUE,"Y능력";#N/A,#N/A,TRUE,"YKD"}</definedName>
    <definedName name="주요업무2" hidden="1">{#N/A,#N/A,TRUE,"Y생산";#N/A,#N/A,TRUE,"Y판매";#N/A,#N/A,TRUE,"Y총물량";#N/A,#N/A,TRUE,"Y능력";#N/A,#N/A,TRUE,"YKD"}</definedName>
    <definedName name="주요업무3" hidden="1">{#N/A,#N/A,TRUE,"Y생산";#N/A,#N/A,TRUE,"Y판매";#N/A,#N/A,TRUE,"Y총물량";#N/A,#N/A,TRUE,"Y능력";#N/A,#N/A,TRUE,"YKD"}</definedName>
    <definedName name="주요제원" hidden="1">{#N/A,#N/A,FALSE,"단축1";#N/A,#N/A,FALSE,"단축2";#N/A,#N/A,FALSE,"단축3";#N/A,#N/A,FALSE,"장축";#N/A,#N/A,FALSE,"4WD"}</definedName>
    <definedName name="중앙" hidden="1">{#N/A,#N/A,FALSE,"단축1";#N/A,#N/A,FALSE,"단축2";#N/A,#N/A,FALSE,"단축3";#N/A,#N/A,FALSE,"장축";#N/A,#N/A,FALSE,"4WD"}</definedName>
    <definedName name="지그">[0]!지그</definedName>
    <definedName name="차차">[0]!차차</definedName>
    <definedName name="차체" hidden="1">{#N/A,#N/A,FALSE,"단축1";#N/A,#N/A,FALSE,"단축2";#N/A,#N/A,FALSE,"단축3";#N/A,#N/A,FALSE,"장축";#N/A,#N/A,FALSE,"4WD"}</definedName>
    <definedName name="참고" hidden="1">{#N/A,#N/A,FALSE,"단축1";#N/A,#N/A,FALSE,"단축2";#N/A,#N/A,FALSE,"단축3";#N/A,#N/A,FALSE,"장축";#N/A,#N/A,FALSE,"4WD"}</definedName>
    <definedName name="참고1" hidden="1">{#N/A,#N/A,FALSE,"단축1";#N/A,#N/A,FALSE,"단축2";#N/A,#N/A,FALSE,"단축3";#N/A,#N/A,FALSE,"장축";#N/A,#N/A,FALSE,"4WD"}</definedName>
    <definedName name="총무3" hidden="1">{#N/A,#N/A,FALSE,"단축1";#N/A,#N/A,FALSE,"단축2";#N/A,#N/A,FALSE,"단축3";#N/A,#N/A,FALSE,"장축";#N/A,#N/A,FALSE,"4WD"}</definedName>
    <definedName name="쵸쵸">[0]!쵸쵸</definedName>
    <definedName name="추진과제" hidden="1">{#N/A,#N/A,FALSE,"단축1";#N/A,#N/A,FALSE,"단축2";#N/A,#N/A,FALSE,"단축3";#N/A,#N/A,FALSE,"장축";#N/A,#N/A,FALSE,"4WD"}</definedName>
    <definedName name="추추">[0]!추추</definedName>
    <definedName name="츄츄">[0]!츄츄</definedName>
    <definedName name="츠츠">[0]!츠츠</definedName>
    <definedName name="ㅋㅋ" hidden="1">{#N/A,#N/A,TRUE,"Y생산";#N/A,#N/A,TRUE,"Y판매";#N/A,#N/A,TRUE,"Y총물량";#N/A,#N/A,TRUE,"Y능력";#N/A,#N/A,TRUE,"YKD"}</definedName>
    <definedName name="카니발연료누유" hidden="1">[4]CAUDIT!#REF!</definedName>
    <definedName name="카메라2" hidden="1">{#N/A,#N/A,FALSE,"단축1";#N/A,#N/A,FALSE,"단축2";#N/A,#N/A,FALSE,"단축3";#N/A,#N/A,FALSE,"장축";#N/A,#N/A,FALSE,"4WD"}</definedName>
    <definedName name="쿠페" hidden="1">{#N/A,#N/A,FALSE,"을지 (4)";#N/A,#N/A,FALSE,"을지 (5)";#N/A,#N/A,FALSE,"을지 (6)"}</definedName>
    <definedName name="키프코" hidden="1">{#N/A,#N/A,FALSE,"을지 (4)";#N/A,#N/A,FALSE,"을지 (5)";#N/A,#N/A,FALSE,"을지 (6)"}</definedName>
    <definedName name="투자비000" hidden="1">{#N/A,#N/A,FALSE,"단축1";#N/A,#N/A,FALSE,"단축2";#N/A,#N/A,FALSE,"단축3";#N/A,#N/A,FALSE,"장축";#N/A,#N/A,FALSE,"4WD"}</definedName>
    <definedName name="투자비복" hidden="1">{#N/A,#N/A,FALSE,"단축1";#N/A,#N/A,FALSE,"단축2";#N/A,#N/A,FALSE,"단축3";#N/A,#N/A,FALSE,"장축";#N/A,#N/A,FALSE,"4WD"}</definedName>
    <definedName name="투자비실적" hidden="1">{#N/A,#N/A,FALSE,"단축1";#N/A,#N/A,FALSE,"단축2";#N/A,#N/A,FALSE,"단축3";#N/A,#N/A,FALSE,"장축";#N/A,#N/A,FALSE,"4WD"}</definedName>
    <definedName name="ㅍ" hidden="1">{#N/A,#N/A,FALSE,"단축1";#N/A,#N/A,FALSE,"단축2";#N/A,#N/A,FALSE,"단축3";#N/A,#N/A,FALSE,"장축";#N/A,#N/A,FALSE,"4WD"}</definedName>
    <definedName name="ㅍㅍ" hidden="1">{#N/A,#N/A,FALSE,"단축1";#N/A,#N/A,FALSE,"단축2";#N/A,#N/A,FALSE,"단축3";#N/A,#N/A,FALSE,"장축";#N/A,#N/A,FALSE,"4WD"}</definedName>
    <definedName name="판매보증" hidden="1">{#N/A,#N/A,FALSE,"인원";#N/A,#N/A,FALSE,"비용2";#N/A,#N/A,FALSE,"비용1";#N/A,#N/A,FALSE,"비용";#N/A,#N/A,FALSE,"보증2";#N/A,#N/A,FALSE,"보증1";#N/A,#N/A,FALSE,"보증";#N/A,#N/A,FALSE,"손익1";#N/A,#N/A,FALSE,"손익";#N/A,#N/A,FALSE,"부서별매출";#N/A,#N/A,FALSE,"매출"}</definedName>
    <definedName name="팩키지2" hidden="1">{#N/A,#N/A,FALSE,"단축1";#N/A,#N/A,FALSE,"단축2";#N/A,#N/A,FALSE,"단축3";#N/A,#N/A,FALSE,"장축";#N/A,#N/A,FALSE,"4WD"}</definedName>
    <definedName name="팩키지3" hidden="1">{#N/A,#N/A,FALSE,"단축1";#N/A,#N/A,FALSE,"단축2";#N/A,#N/A,FALSE,"단축3";#N/A,#N/A,FALSE,"장축";#N/A,#N/A,FALSE,"4WD"}</definedName>
    <definedName name="팩키지5" hidden="1">{#N/A,#N/A,FALSE,"단축1";#N/A,#N/A,FALSE,"단축2";#N/A,#N/A,FALSE,"단축3";#N/A,#N/A,FALSE,"장축";#N/A,#N/A,FALSE,"4WD"}</definedName>
    <definedName name="펴펴">[0]!펴펴</definedName>
    <definedName name="포포">[0]!포포</definedName>
    <definedName name="표지_PTN" hidden="1">{#N/A,#N/A,TRUE,"Y생산";#N/A,#N/A,TRUE,"Y판매";#N/A,#N/A,TRUE,"Y총물량";#N/A,#N/A,TRUE,"Y능력";#N/A,#N/A,TRUE,"YKD"}</definedName>
    <definedName name="표지1" hidden="1">#REF!</definedName>
    <definedName name="표표">[0]!표표</definedName>
    <definedName name="푸푸">[0]!푸푸</definedName>
    <definedName name="품질목표2000" hidden="1">{#N/A,#N/A,TRUE,"Y생산";#N/A,#N/A,TRUE,"Y판매";#N/A,#N/A,TRUE,"Y총물량";#N/A,#N/A,TRUE,"Y능력";#N/A,#N/A,TRUE,"YKD"}</definedName>
    <definedName name="품질생산합격" hidden="1">{#N/A,#N/A,TRUE,"Y생산";#N/A,#N/A,TRUE,"Y판매";#N/A,#N/A,TRUE,"Y총물량";#N/A,#N/A,TRUE,"Y능력";#N/A,#N/A,TRUE,"YKD"}</definedName>
    <definedName name="퓨퓨">[0]!퓨퓨</definedName>
    <definedName name="프레스" hidden="1">{#N/A,#N/A,FALSE,"단축1";#N/A,#N/A,FALSE,"단축2";#N/A,#N/A,FALSE,"단축3";#N/A,#N/A,FALSE,"장축";#N/A,#N/A,FALSE,"4WD"}</definedName>
    <definedName name="프레지오" hidden="1">{#N/A,#N/A,FALSE,"단축1";#N/A,#N/A,FALSE,"단축2";#N/A,#N/A,FALSE,"단축3";#N/A,#N/A,FALSE,"장축";#N/A,#N/A,FALSE,"4WD"}</definedName>
    <definedName name="ㅎ">[0]!ㅎ</definedName>
    <definedName name="ㅎㄴ" hidden="1">{#N/A,#N/A,FALSE,"단축1";#N/A,#N/A,FALSE,"단축2";#N/A,#N/A,FALSE,"단축3";#N/A,#N/A,FALSE,"장축";#N/A,#N/A,FALSE,"4WD"}</definedName>
    <definedName name="ㅎㄻ" hidden="1">#REF!</definedName>
    <definedName name="하하">[0]!하하</definedName>
    <definedName name="한" hidden="1">{#N/A,#N/A,FALSE,"단축1";#N/A,#N/A,FALSE,"단축2";#N/A,#N/A,FALSE,"단축3";#N/A,#N/A,FALSE,"장축";#N/A,#N/A,FALSE,"4WD"}</definedName>
    <definedName name="한글" hidden="1">{#N/A,#N/A,FALSE,"단축1";#N/A,#N/A,FALSE,"단축2";#N/A,#N/A,FALSE,"단축3";#N/A,#N/A,FALSE,"장축";#N/A,#N/A,FALSE,"4WD"}</definedName>
    <definedName name="한영사전" hidden="1">{#N/A,#N/A,TRUE,"Y생산";#N/A,#N/A,TRUE,"Y판매";#N/A,#N/A,TRUE,"Y총물량";#N/A,#N/A,TRUE,"Y능력";#N/A,#N/A,TRUE,"YKD"}</definedName>
    <definedName name="항" hidden="1">{#N/A,#N/A,FALSE,"단축1";#N/A,#N/A,FALSE,"단축2";#N/A,#N/A,FALSE,"단축3";#N/A,#N/A,FALSE,"장축";#N/A,#N/A,FALSE,"4WD"}</definedName>
    <definedName name="행복" hidden="1">{#N/A,#N/A,FALSE,"단축1";#N/A,#N/A,FALSE,"단축2";#N/A,#N/A,FALSE,"단축3";#N/A,#N/A,FALSE,"장축";#N/A,#N/A,FALSE,"4WD"}</definedName>
    <definedName name="향후계획1" hidden="1">{#N/A,#N/A,FALSE,"단축1";#N/A,#N/A,FALSE,"단축2";#N/A,#N/A,FALSE,"단축3";#N/A,#N/A,FALSE,"장축";#N/A,#N/A,FALSE,"4WD"}</definedName>
    <definedName name="혀혀">[0]!혀혀</definedName>
    <definedName name="현현">[0]!현현</definedName>
    <definedName name="현황">[0]!현황</definedName>
    <definedName name="혈혈">[0]!혈혈</definedName>
    <definedName name="혐혐">[0]!혐혐</definedName>
    <definedName name="형">[0]!형</definedName>
    <definedName name="홍" hidden="1">{#N/A,#N/A,FALSE,"96 3월물량표";#N/A,#N/A,FALSE,"96 4월물량표";#N/A,#N/A,FALSE,"96 5월물량표"}</definedName>
    <definedName name="회계잔액" hidden="1">#REF!</definedName>
    <definedName name="후드락">[0]!후드락</definedName>
    <definedName name="후후">[0]!후후</definedName>
    <definedName name="히히">[0]!히히</definedName>
    <definedName name="ㅏ" hidden="1">{#N/A,#N/A,FALSE,"단축1";#N/A,#N/A,FALSE,"단축2";#N/A,#N/A,FALSE,"단축3";#N/A,#N/A,FALSE,"장축";#N/A,#N/A,FALSE,"4WD"}</definedName>
    <definedName name="ㅏㅏㅏ" hidden="1">{#N/A,#N/A,TRUE,"Y생산";#N/A,#N/A,TRUE,"Y판매";#N/A,#N/A,TRUE,"Y총물량";#N/A,#N/A,TRUE,"Y능력";#N/A,#N/A,TRUE,"YKD"}</definedName>
    <definedName name="ㅏㅏㅏㅏㅏ">[0]!ㅏㅏㅏㅏㅏ</definedName>
    <definedName name="ㅐㅐ" hidden="1">{#N/A,#N/A,FALSE,"을지 (4)";#N/A,#N/A,FALSE,"을지 (5)";#N/A,#N/A,FALSE,"을지 (6)"}</definedName>
    <definedName name="ㅑ" hidden="1">{#N/A,#N/A,FALSE,"단축1";#N/A,#N/A,FALSE,"단축2";#N/A,#N/A,FALSE,"단축3";#N/A,#N/A,FALSE,"장축";#N/A,#N/A,FALSE,"4WD"}</definedName>
    <definedName name="ㅑㅑㅑ" hidden="1">{#N/A,#N/A,FALSE,"초도품";#N/A,#N/A,FALSE,"초도품 (2)";#N/A,#N/A,FALSE,"초도품 (3)";#N/A,#N/A,FALSE,"초도품 (4)";#N/A,#N/A,FALSE,"초도품 (5)";#N/A,#N/A,FALSE,"초도품 (6)"}</definedName>
    <definedName name="ㅑㅣㅐㅍ" hidden="1">{#N/A,#N/A,FALSE,"단축1";#N/A,#N/A,FALSE,"단축2";#N/A,#N/A,FALSE,"단축3";#N/A,#N/A,FALSE,"장축";#N/A,#N/A,FALSE,"4WD"}</definedName>
    <definedName name="ㅓ" hidden="1">{#N/A,#N/A,TRUE,"Y생산";#N/A,#N/A,TRUE,"Y판매";#N/A,#N/A,TRUE,"Y총물량";#N/A,#N/A,TRUE,"Y능력";#N/A,#N/A,TRUE,"YKD"}</definedName>
    <definedName name="ㅔ" hidden="1">{#N/A,#N/A,FALSE,"단축1";#N/A,#N/A,FALSE,"단축2";#N/A,#N/A,FALSE,"단축3";#N/A,#N/A,FALSE,"장축";#N/A,#N/A,FALSE,"4WD"}</definedName>
    <definedName name="ㅔㅔ" hidden="1">{#N/A,#N/A,FALSE,"초도품";#N/A,#N/A,FALSE,"초도품 (2)";#N/A,#N/A,FALSE,"초도품 (3)";#N/A,#N/A,FALSE,"초도품 (4)";#N/A,#N/A,FALSE,"초도품 (5)";#N/A,#N/A,FALSE,"초도품 (6)"}</definedName>
    <definedName name="ㅔㅔㅔ" hidden="1">#REF!</definedName>
    <definedName name="ㅕ" hidden="1">{#N/A,#N/A,FALSE,"단축1";#N/A,#N/A,FALSE,"단축2";#N/A,#N/A,FALSE,"단축3";#N/A,#N/A,FALSE,"장축";#N/A,#N/A,FALSE,"4WD"}</definedName>
    <definedName name="ㅕㅕㅕ" hidden="1">{#N/A,#N/A,FALSE,"을지 (4)";#N/A,#N/A,FALSE,"을지 (5)";#N/A,#N/A,FALSE,"을지 (6)"}</definedName>
    <definedName name="ㅗ" hidden="1">{#N/A,#N/A,FALSE,"단축1";#N/A,#N/A,FALSE,"단축2";#N/A,#N/A,FALSE,"단축3";#N/A,#N/A,FALSE,"장축";#N/A,#N/A,FALSE,"4WD"}</definedName>
    <definedName name="ㅗ돟ㄷ" hidden="1">{#N/A,#N/A,FALSE,"단축1";#N/A,#N/A,FALSE,"단축2";#N/A,#N/A,FALSE,"단축3";#N/A,#N/A,FALSE,"장축";#N/A,#N/A,FALSE,"4WD"}</definedName>
    <definedName name="ㅗㅁㅈ몸조" hidden="1">{#N/A,#N/A,FALSE,"단축1";#N/A,#N/A,FALSE,"단축2";#N/A,#N/A,FALSE,"단축3";#N/A,#N/A,FALSE,"장축";#N/A,#N/A,FALSE,"4WD"}</definedName>
    <definedName name="ㅗㅓㅐㅓㅐ" hidden="1">#REF!</definedName>
    <definedName name="ㅗㅗ" hidden="1">{#N/A,#N/A,FALSE,"단축1";#N/A,#N/A,FALSE,"단축2";#N/A,#N/A,FALSE,"단축3";#N/A,#N/A,FALSE,"장축";#N/A,#N/A,FALSE,"4WD"}</definedName>
    <definedName name="ㅛㅛㅕㅗㅓ" hidden="1">{#N/A,#N/A,FALSE,"단축1";#N/A,#N/A,FALSE,"단축2";#N/A,#N/A,FALSE,"단축3";#N/A,#N/A,FALSE,"장축";#N/A,#N/A,FALSE,"4WD"}</definedName>
    <definedName name="ㅛㅛㅛ" hidden="1">{#N/A,#N/A,FALSE,"초도품";#N/A,#N/A,FALSE,"초도품 (2)";#N/A,#N/A,FALSE,"초도품 (3)";#N/A,#N/A,FALSE,"초도품 (4)";#N/A,#N/A,FALSE,"초도품 (5)";#N/A,#N/A,FALSE,"초도품 (6)"}</definedName>
    <definedName name="ㅜ" hidden="1">{#N/A,#N/A,FALSE,"단축1";#N/A,#N/A,FALSE,"단축2";#N/A,#N/A,FALSE,"단축3";#N/A,#N/A,FALSE,"장축";#N/A,#N/A,FALSE,"4WD"}</definedName>
    <definedName name="ㅡ" hidden="1">{#N/A,#N/A,FALSE,"단축1";#N/A,#N/A,FALSE,"단축2";#N/A,#N/A,FALSE,"단축3";#N/A,#N/A,FALSE,"장축";#N/A,#N/A,FALSE,"4WD"}</definedName>
    <definedName name="ㅡㅇ">[0]!ㅡㅇ</definedName>
    <definedName name="ㅡㅗ">[0]!ㅡㅗ</definedName>
    <definedName name="ㅡㅡㅡ" hidden="1">#REF!</definedName>
    <definedName name="ㅣ" hidden="1">#REF!</definedName>
    <definedName name="ㅣㅣ">[0]!ㅣㅣ</definedName>
    <definedName name="ㅣㅣㅣ" hidden="1">{#N/A,#N/A,FALSE,"단축1";#N/A,#N/A,FALSE,"단축2";#N/A,#N/A,FALSE,"단축3";#N/A,#N/A,FALSE,"장축";#N/A,#N/A,FALSE,"4WD"}</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7" i="11" l="1"/>
  <c r="J28" i="11"/>
  <c r="J21" i="11"/>
  <c r="J20" i="11"/>
  <c r="J7" i="11"/>
  <c r="J6" i="11"/>
  <c r="J5" i="11"/>
  <c r="J4" i="11"/>
  <c r="O26" i="10"/>
  <c r="N26" i="10"/>
  <c r="M26" i="10"/>
  <c r="K26" i="10"/>
  <c r="J26" i="10"/>
  <c r="H26" i="10"/>
  <c r="G26" i="10"/>
  <c r="F26" i="10"/>
  <c r="E26" i="10"/>
  <c r="C26" i="10"/>
  <c r="O25" i="10"/>
  <c r="N25" i="10"/>
  <c r="M25" i="10"/>
  <c r="K25" i="10"/>
  <c r="J25" i="10"/>
  <c r="H25" i="10"/>
  <c r="G25" i="10"/>
  <c r="F25" i="10"/>
  <c r="E25" i="10"/>
  <c r="C25" i="10"/>
  <c r="O24" i="10"/>
  <c r="N24" i="10"/>
  <c r="M24" i="10"/>
  <c r="K24" i="10"/>
  <c r="J24" i="10"/>
  <c r="H24" i="10"/>
  <c r="G24" i="10"/>
  <c r="F24" i="10"/>
  <c r="E24" i="10"/>
  <c r="C24" i="10"/>
  <c r="O23" i="10"/>
  <c r="N23" i="10"/>
  <c r="M23" i="10"/>
  <c r="K23" i="10"/>
  <c r="J23" i="10"/>
  <c r="H23" i="10"/>
  <c r="G23" i="10"/>
  <c r="F23" i="10"/>
  <c r="E23" i="10"/>
  <c r="C23" i="10"/>
  <c r="O22" i="10"/>
  <c r="N22" i="10"/>
  <c r="M22" i="10"/>
  <c r="K22" i="10"/>
  <c r="J22" i="10"/>
  <c r="H22" i="10"/>
  <c r="G22" i="10"/>
  <c r="F22" i="10"/>
  <c r="E22" i="10"/>
  <c r="C22" i="10"/>
  <c r="O21" i="10"/>
  <c r="N21" i="10"/>
  <c r="M21" i="10"/>
  <c r="K21" i="10"/>
  <c r="J21" i="10"/>
  <c r="H21" i="10"/>
  <c r="G21" i="10"/>
  <c r="F21" i="10"/>
  <c r="E21" i="10"/>
  <c r="C21" i="10"/>
  <c r="O20" i="10"/>
  <c r="N20" i="10"/>
  <c r="M20" i="10"/>
  <c r="K20" i="10"/>
  <c r="J20" i="10"/>
  <c r="H20" i="10"/>
  <c r="G20" i="10"/>
  <c r="F20" i="10"/>
  <c r="E20" i="10"/>
  <c r="C20" i="10"/>
  <c r="O19" i="10"/>
  <c r="N19" i="10"/>
  <c r="M19" i="10"/>
  <c r="K19" i="10"/>
  <c r="J19" i="10"/>
  <c r="H19" i="10"/>
  <c r="G19" i="10"/>
  <c r="F19" i="10"/>
  <c r="E19" i="10"/>
  <c r="C19" i="10"/>
  <c r="O18" i="10"/>
  <c r="N18" i="10"/>
  <c r="M18" i="10"/>
  <c r="K18" i="10"/>
  <c r="J18" i="10"/>
  <c r="H18" i="10"/>
  <c r="G18" i="10"/>
  <c r="F18" i="10"/>
  <c r="E18" i="10"/>
  <c r="C18" i="10"/>
  <c r="O17" i="10"/>
  <c r="N17" i="10"/>
  <c r="M17" i="10"/>
  <c r="K17" i="10"/>
  <c r="J17" i="10"/>
  <c r="H17" i="10"/>
  <c r="G17" i="10"/>
  <c r="F17" i="10"/>
  <c r="E17" i="10"/>
  <c r="C17" i="10"/>
  <c r="O16" i="10"/>
  <c r="N16" i="10"/>
  <c r="M16" i="10"/>
  <c r="K16" i="10"/>
  <c r="J16" i="10"/>
  <c r="H16" i="10"/>
  <c r="G16" i="10"/>
  <c r="F16" i="10"/>
  <c r="E16" i="10"/>
  <c r="C16" i="10"/>
  <c r="O15" i="10"/>
  <c r="N15" i="10"/>
  <c r="M15" i="10"/>
  <c r="K15" i="10"/>
  <c r="J15" i="10"/>
  <c r="H15" i="10"/>
  <c r="G15" i="10"/>
  <c r="F15" i="10"/>
  <c r="E15" i="10"/>
  <c r="C15" i="10"/>
  <c r="O14" i="10"/>
  <c r="N14" i="10"/>
  <c r="M14" i="10"/>
  <c r="K14" i="10"/>
  <c r="J14" i="10"/>
  <c r="H14" i="10"/>
  <c r="G14" i="10"/>
  <c r="F14" i="10"/>
  <c r="E14" i="10"/>
  <c r="C14" i="10"/>
  <c r="O13" i="10"/>
  <c r="N13" i="10"/>
  <c r="M13" i="10"/>
  <c r="K13" i="10"/>
  <c r="J13" i="10"/>
  <c r="H13" i="10"/>
  <c r="G13" i="10"/>
  <c r="F13" i="10"/>
  <c r="E13" i="10"/>
  <c r="C13" i="10"/>
  <c r="O12" i="10"/>
  <c r="N12" i="10"/>
  <c r="M12" i="10"/>
  <c r="K12" i="10"/>
  <c r="J12" i="10"/>
  <c r="H12" i="10"/>
  <c r="G12" i="10"/>
  <c r="F12" i="10"/>
  <c r="E12" i="10"/>
  <c r="C12" i="10"/>
  <c r="O11" i="10"/>
  <c r="N11" i="10"/>
  <c r="M11" i="10"/>
  <c r="K11" i="10"/>
  <c r="J11" i="10"/>
  <c r="H11" i="10"/>
  <c r="G11" i="10"/>
  <c r="F11" i="10"/>
  <c r="E11" i="10"/>
  <c r="C11" i="10"/>
  <c r="O37" i="9"/>
  <c r="N37" i="9"/>
  <c r="M37" i="9"/>
  <c r="K37" i="9"/>
  <c r="J37" i="9"/>
  <c r="H37" i="9"/>
  <c r="G37" i="9"/>
  <c r="F37" i="9"/>
  <c r="E37" i="9"/>
  <c r="C37" i="9"/>
  <c r="O36" i="9"/>
  <c r="N36" i="9"/>
  <c r="M36" i="9"/>
  <c r="K36" i="9"/>
  <c r="J36" i="9"/>
  <c r="H36" i="9"/>
  <c r="G36" i="9"/>
  <c r="F36" i="9"/>
  <c r="E36" i="9"/>
  <c r="C36" i="9"/>
  <c r="O35" i="9"/>
  <c r="N35" i="9"/>
  <c r="M35" i="9"/>
  <c r="K35" i="9"/>
  <c r="J35" i="9"/>
  <c r="H35" i="9"/>
  <c r="G35" i="9"/>
  <c r="F35" i="9"/>
  <c r="E35" i="9"/>
  <c r="C35" i="9"/>
  <c r="O34" i="9"/>
  <c r="N34" i="9"/>
  <c r="M34" i="9"/>
  <c r="K34" i="9"/>
  <c r="J34" i="9"/>
  <c r="H34" i="9"/>
  <c r="G34" i="9"/>
  <c r="F34" i="9"/>
  <c r="E34" i="9"/>
  <c r="C34" i="9"/>
  <c r="O33" i="9"/>
  <c r="N33" i="9"/>
  <c r="M33" i="9"/>
  <c r="K33" i="9"/>
  <c r="J33" i="9"/>
  <c r="H33" i="9"/>
  <c r="G33" i="9"/>
  <c r="F33" i="9"/>
  <c r="E33" i="9"/>
  <c r="C33" i="9"/>
  <c r="O32" i="9"/>
  <c r="N32" i="9"/>
  <c r="M32" i="9"/>
  <c r="K32" i="9"/>
  <c r="J32" i="9"/>
  <c r="H32" i="9"/>
  <c r="G32" i="9"/>
  <c r="F32" i="9"/>
  <c r="E32" i="9"/>
  <c r="C32" i="9"/>
  <c r="O31" i="9"/>
  <c r="N31" i="9"/>
  <c r="M31" i="9"/>
  <c r="K31" i="9"/>
  <c r="J31" i="9"/>
  <c r="H31" i="9"/>
  <c r="G31" i="9"/>
  <c r="F31" i="9"/>
  <c r="E31" i="9"/>
  <c r="C31" i="9"/>
  <c r="O30" i="9"/>
  <c r="N30" i="9"/>
  <c r="M30" i="9"/>
  <c r="K30" i="9"/>
  <c r="J30" i="9"/>
  <c r="H30" i="9"/>
  <c r="G30" i="9"/>
  <c r="F30" i="9"/>
  <c r="E30" i="9"/>
  <c r="C30" i="9"/>
  <c r="O29" i="9"/>
  <c r="N29" i="9"/>
  <c r="M29" i="9"/>
  <c r="K29" i="9"/>
  <c r="J29" i="9"/>
  <c r="H29" i="9"/>
  <c r="G29" i="9"/>
  <c r="F29" i="9"/>
  <c r="E29" i="9"/>
  <c r="C29" i="9"/>
  <c r="O28" i="9"/>
  <c r="N28" i="9"/>
  <c r="M28" i="9"/>
  <c r="K28" i="9"/>
  <c r="J28" i="9"/>
  <c r="H28" i="9"/>
  <c r="G28" i="9"/>
  <c r="F28" i="9"/>
  <c r="E28" i="9"/>
  <c r="C28" i="9"/>
  <c r="O27" i="9"/>
  <c r="N27" i="9"/>
  <c r="M27" i="9"/>
  <c r="K27" i="9"/>
  <c r="J27" i="9"/>
  <c r="H27" i="9"/>
  <c r="G27" i="9"/>
  <c r="F27" i="9"/>
  <c r="E27" i="9"/>
  <c r="C27" i="9"/>
  <c r="O26" i="9"/>
  <c r="N26" i="9"/>
  <c r="M26" i="9"/>
  <c r="K26" i="9"/>
  <c r="J26" i="9"/>
  <c r="H26" i="9"/>
  <c r="G26" i="9"/>
  <c r="F26" i="9"/>
  <c r="E26" i="9"/>
  <c r="C26" i="9"/>
  <c r="O25" i="9"/>
  <c r="N25" i="9"/>
  <c r="M25" i="9"/>
  <c r="K25" i="9"/>
  <c r="J25" i="9"/>
  <c r="H25" i="9"/>
  <c r="G25" i="9"/>
  <c r="F25" i="9"/>
  <c r="E25" i="9"/>
  <c r="C25" i="9"/>
  <c r="O24" i="9"/>
  <c r="N24" i="9"/>
  <c r="M24" i="9"/>
  <c r="K24" i="9"/>
  <c r="J24" i="9"/>
  <c r="H24" i="9"/>
  <c r="G24" i="9"/>
  <c r="F24" i="9"/>
  <c r="E24" i="9"/>
  <c r="C24" i="9"/>
  <c r="O23" i="9"/>
  <c r="N23" i="9"/>
  <c r="M23" i="9"/>
  <c r="K23" i="9"/>
  <c r="J23" i="9"/>
  <c r="H23" i="9"/>
  <c r="G23" i="9"/>
  <c r="F23" i="9"/>
  <c r="E23" i="9"/>
  <c r="C23" i="9"/>
  <c r="O22" i="9"/>
  <c r="N22" i="9"/>
  <c r="M22" i="9"/>
  <c r="K22" i="9"/>
  <c r="J22" i="9"/>
  <c r="H22" i="9"/>
  <c r="G22" i="9"/>
  <c r="F22" i="9"/>
  <c r="E22" i="9"/>
  <c r="C22" i="9"/>
  <c r="O21" i="9"/>
  <c r="N21" i="9"/>
  <c r="M21" i="9"/>
  <c r="K21" i="9"/>
  <c r="J21" i="9"/>
  <c r="H21" i="9"/>
  <c r="G21" i="9"/>
  <c r="F21" i="9"/>
  <c r="E21" i="9"/>
  <c r="C21" i="9"/>
  <c r="O20" i="9"/>
  <c r="N20" i="9"/>
  <c r="M20" i="9"/>
  <c r="K20" i="9"/>
  <c r="J20" i="9"/>
  <c r="H20" i="9"/>
  <c r="G20" i="9"/>
  <c r="F20" i="9"/>
  <c r="E20" i="9"/>
  <c r="C20" i="9"/>
  <c r="O19" i="9"/>
  <c r="N19" i="9"/>
  <c r="M19" i="9"/>
  <c r="K19" i="9"/>
  <c r="J19" i="9"/>
  <c r="H19" i="9"/>
  <c r="G19" i="9"/>
  <c r="F19" i="9"/>
  <c r="E19" i="9"/>
  <c r="C19" i="9"/>
  <c r="O18" i="9"/>
  <c r="N18" i="9"/>
  <c r="M18" i="9"/>
  <c r="K18" i="9"/>
  <c r="J18" i="9"/>
  <c r="H18" i="9"/>
  <c r="G18" i="9"/>
  <c r="F18" i="9"/>
  <c r="E18" i="9"/>
  <c r="C18" i="9"/>
  <c r="O17" i="9"/>
  <c r="N17" i="9"/>
  <c r="M17" i="9"/>
  <c r="K17" i="9"/>
  <c r="J17" i="9"/>
  <c r="H17" i="9"/>
  <c r="G17" i="9"/>
  <c r="F17" i="9"/>
  <c r="E17" i="9"/>
  <c r="C17" i="9"/>
  <c r="O16" i="9"/>
  <c r="N16" i="9"/>
  <c r="M16" i="9"/>
  <c r="K16" i="9"/>
  <c r="J16" i="9"/>
  <c r="H16" i="9"/>
  <c r="G16" i="9"/>
  <c r="F16" i="9"/>
  <c r="E16" i="9"/>
  <c r="C16" i="9"/>
  <c r="O15" i="9"/>
  <c r="N15" i="9"/>
  <c r="M15" i="9"/>
  <c r="K15" i="9"/>
  <c r="J15" i="9"/>
  <c r="H15" i="9"/>
  <c r="G15" i="9"/>
  <c r="F15" i="9"/>
  <c r="E15" i="9"/>
  <c r="C15" i="9"/>
  <c r="O14" i="9"/>
  <c r="N14" i="9"/>
  <c r="M14" i="9"/>
  <c r="K14" i="9"/>
  <c r="J14" i="9"/>
  <c r="H14" i="9"/>
  <c r="G14" i="9"/>
  <c r="F14" i="9"/>
  <c r="E14" i="9"/>
  <c r="C14" i="9"/>
  <c r="O13" i="9"/>
  <c r="N13" i="9"/>
  <c r="M13" i="9"/>
  <c r="K13" i="9"/>
  <c r="J13" i="9"/>
  <c r="H13" i="9"/>
  <c r="G13" i="9"/>
  <c r="F13" i="9"/>
  <c r="E13" i="9"/>
  <c r="C13" i="9"/>
  <c r="O12" i="9"/>
  <c r="N12" i="9"/>
  <c r="M12" i="9"/>
  <c r="K12" i="9"/>
  <c r="J12" i="9"/>
  <c r="H12" i="9"/>
  <c r="G12" i="9"/>
  <c r="F12" i="9"/>
  <c r="E12" i="9"/>
  <c r="C12" i="9"/>
  <c r="O11" i="9"/>
  <c r="N11" i="9"/>
  <c r="M11" i="9"/>
  <c r="K11" i="9"/>
  <c r="J11" i="9"/>
  <c r="H11" i="9"/>
  <c r="G11" i="9"/>
  <c r="F11" i="9"/>
  <c r="E11" i="9"/>
  <c r="C11" i="9"/>
  <c r="O26" i="8"/>
  <c r="N26" i="8"/>
  <c r="M26" i="8"/>
  <c r="K26" i="8"/>
  <c r="J26" i="8"/>
  <c r="H26" i="8"/>
  <c r="G26" i="8"/>
  <c r="F26" i="8"/>
  <c r="E26" i="8"/>
  <c r="C26" i="8"/>
  <c r="O25" i="8"/>
  <c r="N25" i="8"/>
  <c r="M25" i="8"/>
  <c r="K25" i="8"/>
  <c r="J25" i="8"/>
  <c r="H25" i="8"/>
  <c r="G25" i="8"/>
  <c r="F25" i="8"/>
  <c r="E25" i="8"/>
  <c r="C25" i="8"/>
  <c r="O24" i="8"/>
  <c r="N24" i="8"/>
  <c r="M24" i="8"/>
  <c r="K24" i="8"/>
  <c r="J24" i="8"/>
  <c r="H24" i="8"/>
  <c r="G24" i="8"/>
  <c r="F24" i="8"/>
  <c r="E24" i="8"/>
  <c r="C24" i="8"/>
  <c r="O23" i="8"/>
  <c r="N23" i="8"/>
  <c r="M23" i="8"/>
  <c r="K23" i="8"/>
  <c r="J23" i="8"/>
  <c r="H23" i="8"/>
  <c r="G23" i="8"/>
  <c r="F23" i="8"/>
  <c r="E23" i="8"/>
  <c r="C23" i="8"/>
  <c r="O22" i="8"/>
  <c r="N22" i="8"/>
  <c r="M22" i="8"/>
  <c r="K22" i="8"/>
  <c r="J22" i="8"/>
  <c r="H22" i="8"/>
  <c r="G22" i="8"/>
  <c r="F22" i="8"/>
  <c r="E22" i="8"/>
  <c r="C22" i="8"/>
  <c r="O21" i="8"/>
  <c r="N21" i="8"/>
  <c r="M21" i="8"/>
  <c r="K21" i="8"/>
  <c r="J21" i="8"/>
  <c r="H21" i="8"/>
  <c r="G21" i="8"/>
  <c r="F21" i="8"/>
  <c r="E21" i="8"/>
  <c r="C21" i="8"/>
  <c r="O20" i="8"/>
  <c r="N20" i="8"/>
  <c r="M20" i="8"/>
  <c r="K20" i="8"/>
  <c r="J20" i="8"/>
  <c r="H20" i="8"/>
  <c r="G20" i="8"/>
  <c r="F20" i="8"/>
  <c r="E20" i="8"/>
  <c r="C20" i="8"/>
  <c r="O19" i="8"/>
  <c r="N19" i="8"/>
  <c r="M19" i="8"/>
  <c r="K19" i="8"/>
  <c r="J19" i="8"/>
  <c r="H19" i="8"/>
  <c r="G19" i="8"/>
  <c r="F19" i="8"/>
  <c r="E19" i="8"/>
  <c r="C19" i="8"/>
  <c r="O18" i="8"/>
  <c r="N18" i="8"/>
  <c r="M18" i="8"/>
  <c r="K18" i="8"/>
  <c r="J18" i="8"/>
  <c r="H18" i="8"/>
  <c r="G18" i="8"/>
  <c r="F18" i="8"/>
  <c r="E18" i="8"/>
  <c r="C18" i="8"/>
  <c r="O17" i="8"/>
  <c r="N17" i="8"/>
  <c r="M17" i="8"/>
  <c r="K17" i="8"/>
  <c r="J17" i="8"/>
  <c r="H17" i="8"/>
  <c r="G17" i="8"/>
  <c r="F17" i="8"/>
  <c r="E17" i="8"/>
  <c r="C17" i="8"/>
  <c r="O16" i="8"/>
  <c r="N16" i="8"/>
  <c r="M16" i="8"/>
  <c r="K16" i="8"/>
  <c r="J16" i="8"/>
  <c r="H16" i="8"/>
  <c r="G16" i="8"/>
  <c r="F16" i="8"/>
  <c r="E16" i="8"/>
  <c r="C16" i="8"/>
  <c r="O15" i="8"/>
  <c r="N15" i="8"/>
  <c r="M15" i="8"/>
  <c r="K15" i="8"/>
  <c r="J15" i="8"/>
  <c r="H15" i="8"/>
  <c r="G15" i="8"/>
  <c r="F15" i="8"/>
  <c r="E15" i="8"/>
  <c r="C15" i="8"/>
  <c r="O14" i="8"/>
  <c r="N14" i="8"/>
  <c r="M14" i="8"/>
  <c r="K14" i="8"/>
  <c r="J14" i="8"/>
  <c r="H14" i="8"/>
  <c r="G14" i="8"/>
  <c r="F14" i="8"/>
  <c r="E14" i="8"/>
  <c r="C14" i="8"/>
  <c r="O13" i="8"/>
  <c r="N13" i="8"/>
  <c r="M13" i="8"/>
  <c r="K13" i="8"/>
  <c r="J13" i="8"/>
  <c r="H13" i="8"/>
  <c r="G13" i="8"/>
  <c r="F13" i="8"/>
  <c r="E13" i="8"/>
  <c r="C13" i="8"/>
  <c r="O12" i="8"/>
  <c r="N12" i="8"/>
  <c r="M12" i="8"/>
  <c r="K12" i="8"/>
  <c r="J12" i="8"/>
  <c r="H12" i="8"/>
  <c r="G12" i="8"/>
  <c r="F12" i="8"/>
  <c r="E12" i="8"/>
  <c r="C12" i="8"/>
  <c r="O11" i="8"/>
  <c r="N11" i="8"/>
  <c r="M11" i="8"/>
  <c r="K11" i="8"/>
  <c r="J11" i="8"/>
  <c r="H11" i="8"/>
  <c r="G11" i="8"/>
  <c r="F11" i="8"/>
  <c r="E11" i="8"/>
  <c r="C11" i="8"/>
  <c r="O31" i="7"/>
  <c r="N31" i="7"/>
  <c r="M31" i="7"/>
  <c r="K31" i="7"/>
  <c r="J31" i="7"/>
  <c r="H31" i="7"/>
  <c r="G31" i="7"/>
  <c r="F31" i="7"/>
  <c r="E31" i="7"/>
  <c r="C31" i="7"/>
  <c r="O30" i="7"/>
  <c r="N30" i="7"/>
  <c r="M30" i="7"/>
  <c r="K30" i="7"/>
  <c r="J30" i="7"/>
  <c r="H30" i="7"/>
  <c r="G30" i="7"/>
  <c r="F30" i="7"/>
  <c r="E30" i="7"/>
  <c r="C30" i="7"/>
  <c r="O29" i="7"/>
  <c r="N29" i="7"/>
  <c r="M29" i="7"/>
  <c r="K29" i="7"/>
  <c r="J29" i="7"/>
  <c r="H29" i="7"/>
  <c r="G29" i="7"/>
  <c r="F29" i="7"/>
  <c r="E29" i="7"/>
  <c r="C29" i="7"/>
  <c r="O28" i="7"/>
  <c r="N28" i="7"/>
  <c r="M28" i="7"/>
  <c r="K28" i="7"/>
  <c r="J28" i="7"/>
  <c r="H28" i="7"/>
  <c r="G28" i="7"/>
  <c r="F28" i="7"/>
  <c r="E28" i="7"/>
  <c r="C28" i="7"/>
  <c r="O27" i="7"/>
  <c r="N27" i="7"/>
  <c r="M27" i="7"/>
  <c r="K27" i="7"/>
  <c r="J27" i="7"/>
  <c r="H27" i="7"/>
  <c r="G27" i="7"/>
  <c r="F27" i="7"/>
  <c r="E27" i="7"/>
  <c r="C27" i="7"/>
  <c r="O26" i="7"/>
  <c r="N26" i="7"/>
  <c r="M26" i="7"/>
  <c r="K26" i="7"/>
  <c r="J26" i="7"/>
  <c r="H26" i="7"/>
  <c r="G26" i="7"/>
  <c r="F26" i="7"/>
  <c r="E26" i="7"/>
  <c r="C26" i="7"/>
  <c r="O25" i="7"/>
  <c r="N25" i="7"/>
  <c r="M25" i="7"/>
  <c r="K25" i="7"/>
  <c r="J25" i="7"/>
  <c r="H25" i="7"/>
  <c r="G25" i="7"/>
  <c r="F25" i="7"/>
  <c r="E25" i="7"/>
  <c r="C25" i="7"/>
  <c r="O24" i="7"/>
  <c r="N24" i="7"/>
  <c r="M24" i="7"/>
  <c r="K24" i="7"/>
  <c r="J24" i="7"/>
  <c r="H24" i="7"/>
  <c r="G24" i="7"/>
  <c r="F24" i="7"/>
  <c r="E24" i="7"/>
  <c r="C24" i="7"/>
  <c r="O23" i="7"/>
  <c r="N23" i="7"/>
  <c r="M23" i="7"/>
  <c r="K23" i="7"/>
  <c r="J23" i="7"/>
  <c r="H23" i="7"/>
  <c r="G23" i="7"/>
  <c r="F23" i="7"/>
  <c r="E23" i="7"/>
  <c r="C23" i="7"/>
  <c r="O22" i="7"/>
  <c r="N22" i="7"/>
  <c r="M22" i="7"/>
  <c r="K22" i="7"/>
  <c r="J22" i="7"/>
  <c r="H22" i="7"/>
  <c r="G22" i="7"/>
  <c r="F22" i="7"/>
  <c r="E22" i="7"/>
  <c r="C22" i="7"/>
  <c r="O21" i="7"/>
  <c r="N21" i="7"/>
  <c r="M21" i="7"/>
  <c r="K21" i="7"/>
  <c r="J21" i="7"/>
  <c r="H21" i="7"/>
  <c r="G21" i="7"/>
  <c r="F21" i="7"/>
  <c r="E21" i="7"/>
  <c r="C21" i="7"/>
  <c r="O20" i="7"/>
  <c r="N20" i="7"/>
  <c r="M20" i="7"/>
  <c r="K20" i="7"/>
  <c r="J20" i="7"/>
  <c r="H20" i="7"/>
  <c r="G20" i="7"/>
  <c r="F20" i="7"/>
  <c r="E20" i="7"/>
  <c r="C20" i="7"/>
  <c r="O19" i="7"/>
  <c r="N19" i="7"/>
  <c r="M19" i="7"/>
  <c r="K19" i="7"/>
  <c r="J19" i="7"/>
  <c r="H19" i="7"/>
  <c r="G19" i="7"/>
  <c r="F19" i="7"/>
  <c r="E19" i="7"/>
  <c r="C19" i="7"/>
  <c r="O18" i="7"/>
  <c r="N18" i="7"/>
  <c r="M18" i="7"/>
  <c r="K18" i="7"/>
  <c r="J18" i="7"/>
  <c r="H18" i="7"/>
  <c r="G18" i="7"/>
  <c r="F18" i="7"/>
  <c r="E18" i="7"/>
  <c r="C18" i="7"/>
  <c r="O17" i="7"/>
  <c r="N17" i="7"/>
  <c r="M17" i="7"/>
  <c r="K17" i="7"/>
  <c r="J17" i="7"/>
  <c r="H17" i="7"/>
  <c r="G17" i="7"/>
  <c r="F17" i="7"/>
  <c r="E17" i="7"/>
  <c r="C17" i="7"/>
  <c r="O16" i="7"/>
  <c r="N16" i="7"/>
  <c r="M16" i="7"/>
  <c r="K16" i="7"/>
  <c r="J16" i="7"/>
  <c r="H16" i="7"/>
  <c r="G16" i="7"/>
  <c r="F16" i="7"/>
  <c r="E16" i="7"/>
  <c r="C16" i="7"/>
  <c r="O15" i="7"/>
  <c r="N15" i="7"/>
  <c r="M15" i="7"/>
  <c r="K15" i="7"/>
  <c r="J15" i="7"/>
  <c r="H15" i="7"/>
  <c r="G15" i="7"/>
  <c r="F15" i="7"/>
  <c r="E15" i="7"/>
  <c r="C15" i="7"/>
  <c r="O14" i="7"/>
  <c r="N14" i="7"/>
  <c r="M14" i="7"/>
  <c r="K14" i="7"/>
  <c r="J14" i="7"/>
  <c r="H14" i="7"/>
  <c r="G14" i="7"/>
  <c r="F14" i="7"/>
  <c r="E14" i="7"/>
  <c r="C14" i="7"/>
  <c r="O13" i="7"/>
  <c r="N13" i="7"/>
  <c r="M13" i="7"/>
  <c r="K13" i="7"/>
  <c r="J13" i="7"/>
  <c r="H13" i="7"/>
  <c r="G13" i="7"/>
  <c r="F13" i="7"/>
  <c r="E13" i="7"/>
  <c r="C13" i="7"/>
  <c r="O12" i="7"/>
  <c r="N12" i="7"/>
  <c r="M12" i="7"/>
  <c r="K12" i="7"/>
  <c r="J12" i="7"/>
  <c r="H12" i="7"/>
  <c r="G12" i="7"/>
  <c r="F12" i="7"/>
  <c r="E12" i="7"/>
  <c r="C12" i="7"/>
  <c r="O11" i="7"/>
  <c r="N11" i="7"/>
  <c r="M11" i="7"/>
  <c r="K11" i="7"/>
  <c r="J11" i="7"/>
  <c r="H11" i="7"/>
  <c r="G11" i="7"/>
  <c r="F11" i="7"/>
  <c r="E11" i="7"/>
  <c r="C11" i="7"/>
  <c r="O32" i="6"/>
  <c r="N32" i="6"/>
  <c r="M32" i="6"/>
  <c r="K32" i="6"/>
  <c r="J32" i="6"/>
  <c r="H32" i="6"/>
  <c r="G32" i="6"/>
  <c r="F32" i="6"/>
  <c r="E32" i="6"/>
  <c r="C32" i="6"/>
  <c r="O31" i="6"/>
  <c r="N31" i="6"/>
  <c r="M31" i="6"/>
  <c r="K31" i="6"/>
  <c r="J31" i="6"/>
  <c r="H31" i="6"/>
  <c r="G31" i="6"/>
  <c r="F31" i="6"/>
  <c r="E31" i="6"/>
  <c r="C31" i="6"/>
  <c r="O30" i="6"/>
  <c r="N30" i="6"/>
  <c r="M30" i="6"/>
  <c r="K30" i="6"/>
  <c r="J30" i="6"/>
  <c r="H30" i="6"/>
  <c r="G30" i="6"/>
  <c r="F30" i="6"/>
  <c r="E30" i="6"/>
  <c r="C30" i="6"/>
  <c r="O29" i="6"/>
  <c r="N29" i="6"/>
  <c r="M29" i="6"/>
  <c r="K29" i="6"/>
  <c r="J29" i="6"/>
  <c r="H29" i="6"/>
  <c r="G29" i="6"/>
  <c r="F29" i="6"/>
  <c r="E29" i="6"/>
  <c r="C29" i="6"/>
  <c r="O28" i="6"/>
  <c r="N28" i="6"/>
  <c r="M28" i="6"/>
  <c r="K28" i="6"/>
  <c r="J28" i="6"/>
  <c r="H28" i="6"/>
  <c r="G28" i="6"/>
  <c r="F28" i="6"/>
  <c r="E28" i="6"/>
  <c r="C28" i="6"/>
  <c r="O27" i="6"/>
  <c r="N27" i="6"/>
  <c r="M27" i="6"/>
  <c r="K27" i="6"/>
  <c r="J27" i="6"/>
  <c r="H27" i="6"/>
  <c r="G27" i="6"/>
  <c r="F27" i="6"/>
  <c r="E27" i="6"/>
  <c r="C27" i="6"/>
  <c r="O26" i="6"/>
  <c r="N26" i="6"/>
  <c r="M26" i="6"/>
  <c r="K26" i="6"/>
  <c r="J26" i="6"/>
  <c r="H26" i="6"/>
  <c r="G26" i="6"/>
  <c r="F26" i="6"/>
  <c r="E26" i="6"/>
  <c r="C26" i="6"/>
  <c r="O25" i="6"/>
  <c r="N25" i="6"/>
  <c r="M25" i="6"/>
  <c r="K25" i="6"/>
  <c r="J25" i="6"/>
  <c r="H25" i="6"/>
  <c r="G25" i="6"/>
  <c r="F25" i="6"/>
  <c r="E25" i="6"/>
  <c r="C25" i="6"/>
  <c r="O24" i="6"/>
  <c r="N24" i="6"/>
  <c r="M24" i="6"/>
  <c r="K24" i="6"/>
  <c r="J24" i="6"/>
  <c r="H24" i="6"/>
  <c r="G24" i="6"/>
  <c r="F24" i="6"/>
  <c r="E24" i="6"/>
  <c r="C24" i="6"/>
  <c r="O23" i="6"/>
  <c r="N23" i="6"/>
  <c r="M23" i="6"/>
  <c r="K23" i="6"/>
  <c r="J23" i="6"/>
  <c r="H23" i="6"/>
  <c r="G23" i="6"/>
  <c r="F23" i="6"/>
  <c r="E23" i="6"/>
  <c r="C23" i="6"/>
  <c r="O22" i="6"/>
  <c r="N22" i="6"/>
  <c r="M22" i="6"/>
  <c r="K22" i="6"/>
  <c r="J22" i="6"/>
  <c r="H22" i="6"/>
  <c r="G22" i="6"/>
  <c r="F22" i="6"/>
  <c r="E22" i="6"/>
  <c r="C22" i="6"/>
  <c r="O21" i="6"/>
  <c r="N21" i="6"/>
  <c r="M21" i="6"/>
  <c r="K21" i="6"/>
  <c r="J21" i="6"/>
  <c r="H21" i="6"/>
  <c r="G21" i="6"/>
  <c r="F21" i="6"/>
  <c r="E21" i="6"/>
  <c r="C21" i="6"/>
  <c r="S20" i="6"/>
  <c r="O20" i="6"/>
  <c r="N20" i="6"/>
  <c r="M20" i="6"/>
  <c r="K20" i="6"/>
  <c r="J20" i="6"/>
  <c r="H20" i="6"/>
  <c r="G20" i="6"/>
  <c r="F20" i="6"/>
  <c r="E20" i="6"/>
  <c r="C20" i="6"/>
  <c r="O19" i="6"/>
  <c r="N19" i="6"/>
  <c r="M19" i="6"/>
  <c r="K19" i="6"/>
  <c r="J19" i="6"/>
  <c r="H19" i="6"/>
  <c r="G19" i="6"/>
  <c r="F19" i="6"/>
  <c r="E19" i="6"/>
  <c r="C19" i="6"/>
  <c r="O18" i="6"/>
  <c r="N18" i="6"/>
  <c r="M18" i="6"/>
  <c r="K18" i="6"/>
  <c r="J18" i="6"/>
  <c r="H18" i="6"/>
  <c r="G18" i="6"/>
  <c r="F18" i="6"/>
  <c r="E18" i="6"/>
  <c r="C18" i="6"/>
  <c r="O17" i="6"/>
  <c r="N17" i="6"/>
  <c r="M17" i="6"/>
  <c r="K17" i="6"/>
  <c r="J17" i="6"/>
  <c r="H17" i="6"/>
  <c r="G17" i="6"/>
  <c r="F17" i="6"/>
  <c r="E17" i="6"/>
  <c r="C17" i="6"/>
  <c r="S16" i="6"/>
  <c r="O16" i="6"/>
  <c r="N16" i="6"/>
  <c r="M16" i="6"/>
  <c r="K16" i="6"/>
  <c r="J16" i="6"/>
  <c r="H16" i="6"/>
  <c r="G16" i="6"/>
  <c r="F16" i="6"/>
  <c r="E16" i="6"/>
  <c r="C16" i="6"/>
  <c r="O15" i="6"/>
  <c r="N15" i="6"/>
  <c r="M15" i="6"/>
  <c r="K15" i="6"/>
  <c r="J15" i="6"/>
  <c r="H15" i="6"/>
  <c r="G15" i="6"/>
  <c r="F15" i="6"/>
  <c r="E15" i="6"/>
  <c r="C15" i="6"/>
  <c r="O14" i="6"/>
  <c r="N14" i="6"/>
  <c r="M14" i="6"/>
  <c r="K14" i="6"/>
  <c r="J14" i="6"/>
  <c r="H14" i="6"/>
  <c r="G14" i="6"/>
  <c r="F14" i="6"/>
  <c r="E14" i="6"/>
  <c r="C14" i="6"/>
  <c r="O13" i="6"/>
  <c r="N13" i="6"/>
  <c r="M13" i="6"/>
  <c r="K13" i="6"/>
  <c r="J13" i="6"/>
  <c r="H13" i="6"/>
  <c r="G13" i="6"/>
  <c r="F13" i="6"/>
  <c r="E13" i="6"/>
  <c r="C13" i="6"/>
  <c r="O12" i="6"/>
  <c r="N12" i="6"/>
  <c r="M12" i="6"/>
  <c r="K12" i="6"/>
  <c r="J12" i="6"/>
  <c r="H12" i="6"/>
  <c r="G12" i="6"/>
  <c r="F12" i="6"/>
  <c r="E12" i="6"/>
  <c r="C12" i="6"/>
  <c r="O11" i="6"/>
  <c r="N11" i="6"/>
  <c r="M11" i="6"/>
  <c r="K11" i="6"/>
  <c r="J11" i="6"/>
  <c r="H11" i="6"/>
  <c r="G11" i="6"/>
  <c r="F11" i="6"/>
  <c r="E11" i="6"/>
  <c r="C11" i="6"/>
  <c r="O26" i="5"/>
  <c r="N26" i="5"/>
  <c r="M26" i="5"/>
  <c r="K26" i="5"/>
  <c r="J26" i="5"/>
  <c r="H26" i="5"/>
  <c r="G26" i="5"/>
  <c r="F26" i="5"/>
  <c r="E26" i="5"/>
  <c r="C26" i="5"/>
  <c r="O25" i="5"/>
  <c r="N25" i="5"/>
  <c r="M25" i="5"/>
  <c r="K25" i="5"/>
  <c r="J25" i="5"/>
  <c r="H25" i="5"/>
  <c r="G25" i="5"/>
  <c r="F25" i="5"/>
  <c r="E25" i="5"/>
  <c r="C25" i="5"/>
  <c r="O24" i="5"/>
  <c r="N24" i="5"/>
  <c r="M24" i="5"/>
  <c r="K24" i="5"/>
  <c r="J24" i="5"/>
  <c r="H24" i="5"/>
  <c r="G24" i="5"/>
  <c r="F24" i="5"/>
  <c r="E24" i="5"/>
  <c r="C24" i="5"/>
  <c r="O23" i="5"/>
  <c r="N23" i="5"/>
  <c r="M23" i="5"/>
  <c r="K23" i="5"/>
  <c r="J23" i="5"/>
  <c r="H23" i="5"/>
  <c r="G23" i="5"/>
  <c r="F23" i="5"/>
  <c r="E23" i="5"/>
  <c r="C23" i="5"/>
  <c r="O22" i="5"/>
  <c r="N22" i="5"/>
  <c r="M22" i="5"/>
  <c r="K22" i="5"/>
  <c r="J22" i="5"/>
  <c r="H22" i="5"/>
  <c r="G22" i="5"/>
  <c r="F22" i="5"/>
  <c r="E22" i="5"/>
  <c r="C22" i="5"/>
  <c r="O21" i="5"/>
  <c r="N21" i="5"/>
  <c r="M21" i="5"/>
  <c r="K21" i="5"/>
  <c r="J21" i="5"/>
  <c r="H21" i="5"/>
  <c r="G21" i="5"/>
  <c r="F21" i="5"/>
  <c r="E21" i="5"/>
  <c r="C21" i="5"/>
  <c r="O20" i="5"/>
  <c r="N20" i="5"/>
  <c r="M20" i="5"/>
  <c r="K20" i="5"/>
  <c r="J20" i="5"/>
  <c r="H20" i="5"/>
  <c r="G20" i="5"/>
  <c r="F20" i="5"/>
  <c r="E20" i="5"/>
  <c r="C20" i="5"/>
  <c r="O19" i="5"/>
  <c r="N19" i="5"/>
  <c r="M19" i="5"/>
  <c r="K19" i="5"/>
  <c r="J19" i="5"/>
  <c r="H19" i="5"/>
  <c r="G19" i="5"/>
  <c r="F19" i="5"/>
  <c r="E19" i="5"/>
  <c r="C19" i="5"/>
  <c r="O18" i="5"/>
  <c r="N18" i="5"/>
  <c r="M18" i="5"/>
  <c r="K18" i="5"/>
  <c r="J18" i="5"/>
  <c r="H18" i="5"/>
  <c r="G18" i="5"/>
  <c r="F18" i="5"/>
  <c r="E18" i="5"/>
  <c r="C18" i="5"/>
  <c r="O17" i="5"/>
  <c r="N17" i="5"/>
  <c r="M17" i="5"/>
  <c r="K17" i="5"/>
  <c r="J17" i="5"/>
  <c r="H17" i="5"/>
  <c r="G17" i="5"/>
  <c r="F17" i="5"/>
  <c r="E17" i="5"/>
  <c r="C17" i="5"/>
  <c r="O16" i="5"/>
  <c r="N16" i="5"/>
  <c r="M16" i="5"/>
  <c r="K16" i="5"/>
  <c r="J16" i="5"/>
  <c r="H16" i="5"/>
  <c r="G16" i="5"/>
  <c r="F16" i="5"/>
  <c r="E16" i="5"/>
  <c r="C16" i="5"/>
  <c r="O15" i="5"/>
  <c r="N15" i="5"/>
  <c r="M15" i="5"/>
  <c r="K15" i="5"/>
  <c r="J15" i="5"/>
  <c r="H15" i="5"/>
  <c r="G15" i="5"/>
  <c r="F15" i="5"/>
  <c r="E15" i="5"/>
  <c r="C15" i="5"/>
  <c r="O14" i="5"/>
  <c r="N14" i="5"/>
  <c r="M14" i="5"/>
  <c r="K14" i="5"/>
  <c r="J14" i="5"/>
  <c r="H14" i="5"/>
  <c r="G14" i="5"/>
  <c r="F14" i="5"/>
  <c r="E14" i="5"/>
  <c r="C14" i="5"/>
  <c r="O13" i="5"/>
  <c r="N13" i="5"/>
  <c r="M13" i="5"/>
  <c r="K13" i="5"/>
  <c r="J13" i="5"/>
  <c r="H13" i="5"/>
  <c r="G13" i="5"/>
  <c r="F13" i="5"/>
  <c r="E13" i="5"/>
  <c r="C13" i="5"/>
  <c r="O12" i="5"/>
  <c r="N12" i="5"/>
  <c r="M12" i="5"/>
  <c r="K12" i="5"/>
  <c r="J12" i="5"/>
  <c r="H12" i="5"/>
  <c r="G12" i="5"/>
  <c r="F12" i="5"/>
  <c r="E12" i="5"/>
  <c r="C12" i="5"/>
  <c r="O11" i="5"/>
  <c r="N11" i="5"/>
  <c r="M11" i="5"/>
  <c r="K11" i="5"/>
  <c r="J11" i="5"/>
  <c r="H11" i="5"/>
  <c r="G11" i="5"/>
  <c r="F11" i="5"/>
  <c r="E11" i="5"/>
  <c r="C11" i="5"/>
  <c r="O25" i="4"/>
  <c r="N25" i="4"/>
  <c r="M25" i="4"/>
  <c r="K25" i="4"/>
  <c r="J25" i="4"/>
  <c r="H25" i="4"/>
  <c r="G25" i="4"/>
  <c r="F25" i="4"/>
  <c r="E25" i="4"/>
  <c r="C25" i="4"/>
  <c r="O24" i="4"/>
  <c r="N24" i="4"/>
  <c r="M24" i="4"/>
  <c r="K24" i="4"/>
  <c r="J24" i="4"/>
  <c r="H24" i="4"/>
  <c r="G24" i="4"/>
  <c r="F24" i="4"/>
  <c r="E24" i="4"/>
  <c r="C24" i="4"/>
  <c r="O23" i="4"/>
  <c r="N23" i="4"/>
  <c r="M23" i="4"/>
  <c r="K23" i="4"/>
  <c r="J23" i="4"/>
  <c r="H23" i="4"/>
  <c r="G23" i="4"/>
  <c r="F23" i="4"/>
  <c r="E23" i="4"/>
  <c r="C23" i="4"/>
  <c r="O22" i="4"/>
  <c r="N22" i="4"/>
  <c r="M22" i="4"/>
  <c r="K22" i="4"/>
  <c r="J22" i="4"/>
  <c r="H22" i="4"/>
  <c r="G22" i="4"/>
  <c r="F22" i="4"/>
  <c r="E22" i="4"/>
  <c r="C22" i="4"/>
  <c r="O21" i="4"/>
  <c r="N21" i="4"/>
  <c r="M21" i="4"/>
  <c r="K21" i="4"/>
  <c r="J21" i="4"/>
  <c r="H21" i="4"/>
  <c r="G21" i="4"/>
  <c r="F21" i="4"/>
  <c r="E21" i="4"/>
  <c r="C21" i="4"/>
  <c r="O20" i="4"/>
  <c r="N20" i="4"/>
  <c r="M20" i="4"/>
  <c r="K20" i="4"/>
  <c r="J20" i="4"/>
  <c r="H20" i="4"/>
  <c r="G20" i="4"/>
  <c r="F20" i="4"/>
  <c r="E20" i="4"/>
  <c r="C20" i="4"/>
  <c r="O19" i="4"/>
  <c r="N19" i="4"/>
  <c r="M19" i="4"/>
  <c r="K19" i="4"/>
  <c r="J19" i="4"/>
  <c r="H19" i="4"/>
  <c r="G19" i="4"/>
  <c r="F19" i="4"/>
  <c r="E19" i="4"/>
  <c r="C19" i="4"/>
  <c r="O18" i="4"/>
  <c r="N18" i="4"/>
  <c r="M18" i="4"/>
  <c r="K18" i="4"/>
  <c r="J18" i="4"/>
  <c r="H18" i="4"/>
  <c r="G18" i="4"/>
  <c r="F18" i="4"/>
  <c r="E18" i="4"/>
  <c r="C18" i="4"/>
  <c r="O17" i="4"/>
  <c r="N17" i="4"/>
  <c r="M17" i="4"/>
  <c r="K17" i="4"/>
  <c r="J17" i="4"/>
  <c r="H17" i="4"/>
  <c r="G17" i="4"/>
  <c r="F17" i="4"/>
  <c r="E17" i="4"/>
  <c r="C17" i="4"/>
  <c r="O16" i="4"/>
  <c r="N16" i="4"/>
  <c r="M16" i="4"/>
  <c r="K16" i="4"/>
  <c r="J16" i="4"/>
  <c r="H16" i="4"/>
  <c r="G16" i="4"/>
  <c r="F16" i="4"/>
  <c r="E16" i="4"/>
  <c r="C16" i="4"/>
  <c r="O15" i="4"/>
  <c r="N15" i="4"/>
  <c r="M15" i="4"/>
  <c r="K15" i="4"/>
  <c r="J15" i="4"/>
  <c r="H15" i="4"/>
  <c r="G15" i="4"/>
  <c r="F15" i="4"/>
  <c r="E15" i="4"/>
  <c r="C15" i="4"/>
  <c r="O14" i="4"/>
  <c r="N14" i="4"/>
  <c r="M14" i="4"/>
  <c r="K14" i="4"/>
  <c r="J14" i="4"/>
  <c r="H14" i="4"/>
  <c r="G14" i="4"/>
  <c r="F14" i="4"/>
  <c r="E14" i="4"/>
  <c r="C14" i="4"/>
  <c r="O13" i="4"/>
  <c r="N13" i="4"/>
  <c r="M13" i="4"/>
  <c r="K13" i="4"/>
  <c r="J13" i="4"/>
  <c r="H13" i="4"/>
  <c r="G13" i="4"/>
  <c r="F13" i="4"/>
  <c r="E13" i="4"/>
  <c r="C13" i="4"/>
  <c r="O12" i="4"/>
  <c r="N12" i="4"/>
  <c r="M12" i="4"/>
  <c r="K12" i="4"/>
  <c r="J12" i="4"/>
  <c r="H12" i="4"/>
  <c r="G12" i="4"/>
  <c r="F12" i="4"/>
  <c r="E12" i="4"/>
  <c r="C12" i="4"/>
  <c r="O11" i="4"/>
  <c r="N11" i="4"/>
  <c r="M11" i="4"/>
  <c r="K11" i="4"/>
  <c r="J11" i="4"/>
  <c r="H11" i="4"/>
  <c r="G11" i="4"/>
  <c r="F11" i="4"/>
  <c r="E11" i="4"/>
  <c r="C11" i="4"/>
  <c r="H133" i="3"/>
  <c r="G133" i="3"/>
  <c r="F133" i="3"/>
  <c r="E133" i="3"/>
  <c r="D133" i="3"/>
  <c r="C133" i="3"/>
  <c r="H132" i="3"/>
  <c r="G132" i="3"/>
  <c r="F132" i="3"/>
  <c r="E132" i="3"/>
  <c r="D132" i="3"/>
  <c r="C132" i="3"/>
  <c r="H131" i="3"/>
  <c r="G131" i="3"/>
  <c r="F131" i="3"/>
  <c r="E131" i="3"/>
  <c r="D131" i="3"/>
  <c r="C131" i="3"/>
  <c r="H130" i="3"/>
  <c r="G130" i="3"/>
  <c r="F130" i="3"/>
  <c r="E130" i="3"/>
  <c r="D130" i="3"/>
  <c r="C130" i="3"/>
  <c r="H129" i="3"/>
  <c r="G129" i="3"/>
  <c r="F129" i="3"/>
  <c r="E129" i="3"/>
  <c r="D129" i="3"/>
  <c r="C129" i="3"/>
  <c r="H128" i="3"/>
  <c r="G128" i="3"/>
  <c r="F128" i="3"/>
  <c r="E128" i="3"/>
  <c r="D128" i="3"/>
  <c r="C128" i="3"/>
  <c r="H127" i="3"/>
  <c r="G127" i="3"/>
  <c r="F127" i="3"/>
  <c r="E127" i="3"/>
  <c r="D127" i="3"/>
  <c r="C127" i="3"/>
  <c r="H126" i="3"/>
  <c r="G126" i="3"/>
  <c r="F126" i="3"/>
  <c r="E126" i="3"/>
  <c r="D126" i="3"/>
  <c r="C126" i="3"/>
  <c r="H125" i="3"/>
  <c r="G125" i="3"/>
  <c r="F125" i="3"/>
  <c r="E125" i="3"/>
  <c r="D125" i="3"/>
  <c r="C125" i="3"/>
  <c r="H124" i="3"/>
  <c r="G124" i="3"/>
  <c r="F124" i="3"/>
  <c r="E124" i="3"/>
  <c r="D124" i="3"/>
  <c r="C124" i="3"/>
  <c r="H123" i="3"/>
  <c r="G123" i="3"/>
  <c r="F123" i="3"/>
  <c r="E123" i="3"/>
  <c r="D123" i="3"/>
  <c r="C123" i="3"/>
  <c r="H122" i="3"/>
  <c r="G122" i="3"/>
  <c r="F122" i="3"/>
  <c r="E122" i="3"/>
  <c r="D122" i="3"/>
  <c r="C122" i="3"/>
  <c r="H121" i="3"/>
  <c r="G121" i="3"/>
  <c r="F121" i="3"/>
  <c r="E121" i="3"/>
  <c r="D121" i="3"/>
  <c r="C121" i="3"/>
  <c r="H120" i="3"/>
  <c r="G120" i="3"/>
  <c r="F120" i="3"/>
  <c r="E120" i="3"/>
  <c r="D120" i="3"/>
  <c r="C120" i="3"/>
  <c r="H119" i="3"/>
  <c r="G119" i="3"/>
  <c r="F119" i="3"/>
  <c r="E119" i="3"/>
  <c r="D119" i="3"/>
  <c r="C119" i="3"/>
  <c r="H118" i="3"/>
  <c r="G118" i="3"/>
  <c r="F118" i="3"/>
  <c r="E118" i="3"/>
  <c r="D118" i="3"/>
  <c r="C118" i="3"/>
  <c r="H117" i="3"/>
  <c r="G117" i="3"/>
  <c r="F117" i="3"/>
  <c r="E117" i="3"/>
  <c r="D117" i="3"/>
  <c r="C117" i="3"/>
  <c r="H116" i="3"/>
  <c r="G116" i="3"/>
  <c r="F116" i="3"/>
  <c r="E116" i="3"/>
  <c r="D116" i="3"/>
  <c r="C116" i="3"/>
  <c r="H115" i="3"/>
  <c r="G115" i="3"/>
  <c r="F115" i="3"/>
  <c r="E115" i="3"/>
  <c r="D115" i="3"/>
  <c r="C115" i="3"/>
  <c r="H114" i="3"/>
  <c r="G114" i="3"/>
  <c r="F114" i="3"/>
  <c r="E114" i="3"/>
  <c r="D114" i="3"/>
  <c r="C114" i="3"/>
  <c r="H113" i="3"/>
  <c r="G113" i="3"/>
  <c r="F113" i="3"/>
  <c r="E113" i="3"/>
  <c r="D113" i="3"/>
  <c r="C113" i="3"/>
  <c r="H112" i="3"/>
  <c r="G112" i="3"/>
  <c r="F112" i="3"/>
  <c r="E112" i="3"/>
  <c r="D112" i="3"/>
  <c r="C112" i="3"/>
  <c r="H111" i="3"/>
  <c r="G111" i="3"/>
  <c r="F111" i="3"/>
  <c r="E111" i="3"/>
  <c r="D111" i="3"/>
  <c r="C111" i="3"/>
  <c r="H110" i="3"/>
  <c r="G110" i="3"/>
  <c r="F110" i="3"/>
  <c r="E110" i="3"/>
  <c r="D110" i="3"/>
  <c r="C110" i="3"/>
  <c r="H109" i="3"/>
  <c r="G109" i="3"/>
  <c r="F109" i="3"/>
  <c r="E109" i="3"/>
  <c r="D109" i="3"/>
  <c r="C109" i="3"/>
  <c r="H108" i="3"/>
  <c r="G108" i="3"/>
  <c r="F108" i="3"/>
  <c r="E108" i="3"/>
  <c r="D108" i="3"/>
  <c r="C108" i="3"/>
  <c r="H107" i="3"/>
  <c r="G107" i="3"/>
  <c r="F107" i="3"/>
  <c r="E107" i="3"/>
  <c r="D107" i="3"/>
  <c r="C107" i="3"/>
  <c r="H106" i="3"/>
  <c r="G106" i="3"/>
  <c r="F106" i="3"/>
  <c r="E106" i="3"/>
  <c r="D106" i="3"/>
  <c r="C106" i="3"/>
  <c r="H105" i="3"/>
  <c r="G105" i="3"/>
  <c r="F105" i="3"/>
  <c r="E105" i="3"/>
  <c r="D105" i="3"/>
  <c r="C105" i="3"/>
  <c r="H104" i="3"/>
  <c r="G104" i="3"/>
  <c r="F104" i="3"/>
  <c r="E104" i="3"/>
  <c r="D104" i="3"/>
  <c r="C104" i="3"/>
  <c r="H103" i="3"/>
  <c r="G103" i="3"/>
  <c r="F103" i="3"/>
  <c r="E103" i="3"/>
  <c r="D103" i="3"/>
  <c r="C103" i="3"/>
  <c r="H102" i="3"/>
  <c r="G102" i="3"/>
  <c r="F102" i="3"/>
  <c r="E102" i="3"/>
  <c r="D102" i="3"/>
  <c r="C102" i="3"/>
  <c r="H101" i="3"/>
  <c r="G101" i="3"/>
  <c r="F101" i="3"/>
  <c r="E101" i="3"/>
  <c r="D101" i="3"/>
  <c r="C101" i="3"/>
  <c r="H100" i="3"/>
  <c r="G100" i="3"/>
  <c r="F100" i="3"/>
  <c r="E100" i="3"/>
  <c r="D100" i="3"/>
  <c r="C100" i="3"/>
  <c r="H99" i="3"/>
  <c r="G99" i="3"/>
  <c r="F99" i="3"/>
  <c r="E99" i="3"/>
  <c r="D99" i="3"/>
  <c r="C99" i="3"/>
  <c r="H98" i="3"/>
  <c r="G98" i="3"/>
  <c r="F98" i="3"/>
  <c r="E98" i="3"/>
  <c r="D98" i="3"/>
  <c r="C98" i="3"/>
  <c r="H97" i="3"/>
  <c r="G97" i="3"/>
  <c r="F97" i="3"/>
  <c r="E97" i="3"/>
  <c r="D97" i="3"/>
  <c r="C97" i="3"/>
  <c r="H96" i="3"/>
  <c r="G96" i="3"/>
  <c r="F96" i="3"/>
  <c r="E96" i="3"/>
  <c r="D96" i="3"/>
  <c r="C96" i="3"/>
  <c r="H95" i="3"/>
  <c r="G95" i="3"/>
  <c r="F95" i="3"/>
  <c r="E95" i="3"/>
  <c r="D95" i="3"/>
  <c r="C95" i="3"/>
  <c r="H94" i="3"/>
  <c r="G94" i="3"/>
  <c r="F94" i="3"/>
  <c r="E94" i="3"/>
  <c r="D94" i="3"/>
  <c r="C94" i="3"/>
  <c r="H93" i="3"/>
  <c r="G93" i="3"/>
  <c r="F93" i="3"/>
  <c r="E93" i="3"/>
  <c r="D93" i="3"/>
  <c r="C93" i="3"/>
  <c r="H92" i="3"/>
  <c r="G92" i="3"/>
  <c r="F92" i="3"/>
  <c r="E92" i="3"/>
  <c r="D92" i="3"/>
  <c r="C92" i="3"/>
  <c r="H91" i="3"/>
  <c r="G91" i="3"/>
  <c r="F91" i="3"/>
  <c r="E91" i="3"/>
  <c r="D91" i="3"/>
  <c r="C91" i="3"/>
  <c r="H90" i="3"/>
  <c r="G90" i="3"/>
  <c r="F90" i="3"/>
  <c r="E90" i="3"/>
  <c r="D90" i="3"/>
  <c r="C90" i="3"/>
  <c r="H89" i="3"/>
  <c r="G89" i="3"/>
  <c r="F89" i="3"/>
  <c r="E89" i="3"/>
  <c r="D89" i="3"/>
  <c r="C89" i="3"/>
  <c r="H88" i="3"/>
  <c r="G88" i="3"/>
  <c r="F88" i="3"/>
  <c r="E88" i="3"/>
  <c r="D88" i="3"/>
  <c r="C88" i="3"/>
  <c r="H87" i="3"/>
  <c r="G87" i="3"/>
  <c r="F87" i="3"/>
  <c r="E87" i="3"/>
  <c r="D87" i="3"/>
  <c r="C87" i="3"/>
  <c r="H86" i="3"/>
  <c r="G86" i="3"/>
  <c r="F86" i="3"/>
  <c r="E86" i="3"/>
  <c r="D86" i="3"/>
  <c r="C86" i="3"/>
  <c r="H85" i="3"/>
  <c r="G85" i="3"/>
  <c r="F85" i="3"/>
  <c r="E85" i="3"/>
  <c r="D85" i="3"/>
  <c r="C85" i="3"/>
  <c r="H84" i="3"/>
  <c r="G84" i="3"/>
  <c r="F84" i="3"/>
  <c r="E84" i="3"/>
  <c r="D84" i="3"/>
  <c r="C84" i="3"/>
  <c r="H83" i="3"/>
  <c r="G83" i="3"/>
  <c r="F83" i="3"/>
  <c r="E83" i="3"/>
  <c r="D83" i="3"/>
  <c r="C83" i="3"/>
  <c r="H82" i="3"/>
  <c r="G82" i="3"/>
  <c r="F82" i="3"/>
  <c r="E82" i="3"/>
  <c r="D82" i="3"/>
  <c r="C82" i="3"/>
  <c r="H81" i="3"/>
  <c r="G81" i="3"/>
  <c r="F81" i="3"/>
  <c r="E81" i="3"/>
  <c r="D81" i="3"/>
  <c r="C81" i="3"/>
  <c r="H80" i="3"/>
  <c r="G80" i="3"/>
  <c r="F80" i="3"/>
  <c r="E80" i="3"/>
  <c r="D80" i="3"/>
  <c r="C80" i="3"/>
  <c r="H79" i="3"/>
  <c r="G79" i="3"/>
  <c r="F79" i="3"/>
  <c r="E79" i="3"/>
  <c r="D79" i="3"/>
  <c r="C79" i="3"/>
  <c r="H78" i="3"/>
  <c r="G78" i="3"/>
  <c r="F78" i="3"/>
  <c r="E78" i="3"/>
  <c r="D78" i="3"/>
  <c r="C78" i="3"/>
  <c r="H77" i="3"/>
  <c r="G77" i="3"/>
  <c r="F77" i="3"/>
  <c r="E77" i="3"/>
  <c r="D77" i="3"/>
  <c r="C77" i="3"/>
  <c r="H76" i="3"/>
  <c r="G76" i="3"/>
  <c r="F76" i="3"/>
  <c r="E76" i="3"/>
  <c r="D76" i="3"/>
  <c r="C76" i="3"/>
  <c r="F75" i="3"/>
  <c r="E75" i="3"/>
  <c r="D75" i="3"/>
  <c r="C75" i="3"/>
  <c r="H74" i="3"/>
  <c r="G74" i="3"/>
  <c r="F74" i="3"/>
  <c r="E74" i="3"/>
  <c r="D74" i="3"/>
  <c r="C74" i="3"/>
  <c r="H73" i="3"/>
  <c r="G73" i="3"/>
  <c r="F73" i="3"/>
  <c r="E73" i="3"/>
  <c r="D73" i="3"/>
  <c r="C73" i="3"/>
  <c r="H72" i="3"/>
  <c r="G72" i="3"/>
  <c r="F72" i="3"/>
  <c r="E72" i="3"/>
  <c r="D72" i="3"/>
  <c r="C72" i="3"/>
  <c r="H71" i="3"/>
  <c r="G71" i="3"/>
  <c r="F71" i="3"/>
  <c r="E71" i="3"/>
  <c r="D71" i="3"/>
  <c r="C71" i="3"/>
  <c r="H70" i="3"/>
  <c r="G70" i="3"/>
  <c r="F70" i="3"/>
  <c r="E70" i="3"/>
  <c r="D70" i="3"/>
  <c r="C70" i="3"/>
  <c r="H69" i="3"/>
  <c r="G69" i="3"/>
  <c r="F69" i="3"/>
  <c r="E69" i="3"/>
  <c r="D69" i="3"/>
  <c r="C69" i="3"/>
  <c r="H68" i="3"/>
  <c r="G68" i="3"/>
  <c r="F68" i="3"/>
  <c r="E68" i="3"/>
  <c r="D68" i="3"/>
  <c r="C68" i="3"/>
  <c r="H67" i="3"/>
  <c r="G67" i="3"/>
  <c r="F67" i="3"/>
  <c r="E67" i="3"/>
  <c r="D67" i="3"/>
  <c r="C67" i="3"/>
  <c r="H66" i="3"/>
  <c r="G66" i="3"/>
  <c r="F66" i="3"/>
  <c r="E66" i="3"/>
  <c r="D66" i="3"/>
  <c r="C66" i="3"/>
  <c r="H65" i="3"/>
  <c r="G65" i="3"/>
  <c r="F65" i="3"/>
  <c r="E65" i="3"/>
  <c r="D65" i="3"/>
  <c r="C65" i="3"/>
  <c r="H64" i="3"/>
  <c r="G64" i="3"/>
  <c r="F64" i="3"/>
  <c r="E64" i="3"/>
  <c r="D64" i="3"/>
  <c r="C64" i="3"/>
  <c r="H63" i="3"/>
  <c r="G63" i="3"/>
  <c r="F63" i="3"/>
  <c r="E63" i="3"/>
  <c r="D63" i="3"/>
  <c r="C63" i="3"/>
  <c r="H62" i="3"/>
  <c r="G62" i="3"/>
  <c r="F62" i="3"/>
  <c r="E62" i="3"/>
  <c r="D62" i="3"/>
  <c r="C62" i="3"/>
  <c r="H61" i="3"/>
  <c r="G61" i="3"/>
  <c r="F61" i="3"/>
  <c r="E61" i="3"/>
  <c r="D61" i="3"/>
  <c r="C61" i="3"/>
  <c r="H60" i="3"/>
  <c r="G60" i="3"/>
  <c r="F60" i="3"/>
  <c r="E60" i="3"/>
  <c r="D60" i="3"/>
  <c r="C60" i="3"/>
  <c r="H59" i="3"/>
  <c r="G59" i="3"/>
  <c r="F59" i="3"/>
  <c r="E59" i="3"/>
  <c r="D59" i="3"/>
  <c r="C59" i="3"/>
  <c r="H58" i="3"/>
  <c r="G58" i="3"/>
  <c r="F58" i="3"/>
  <c r="E58" i="3"/>
  <c r="D58" i="3"/>
  <c r="C58" i="3"/>
  <c r="H57" i="3"/>
  <c r="G57" i="3"/>
  <c r="F57" i="3"/>
  <c r="E57" i="3"/>
  <c r="D57" i="3"/>
  <c r="C57" i="3"/>
  <c r="H56" i="3"/>
  <c r="G56" i="3"/>
  <c r="F56" i="3"/>
  <c r="E56" i="3"/>
  <c r="D56" i="3"/>
  <c r="C56" i="3"/>
  <c r="H55" i="3"/>
  <c r="G55" i="3"/>
  <c r="F55" i="3"/>
  <c r="E55" i="3"/>
  <c r="D55" i="3"/>
  <c r="C55" i="3"/>
  <c r="H54" i="3"/>
  <c r="G54" i="3"/>
  <c r="F54" i="3"/>
  <c r="E54" i="3"/>
  <c r="D54" i="3"/>
  <c r="C54" i="3"/>
  <c r="H53" i="3"/>
  <c r="G53" i="3"/>
  <c r="F53" i="3"/>
  <c r="E53" i="3"/>
  <c r="D53" i="3"/>
  <c r="C53" i="3"/>
  <c r="H52" i="3"/>
  <c r="G52" i="3"/>
  <c r="F52" i="3"/>
  <c r="E52" i="3"/>
  <c r="D52" i="3"/>
  <c r="C52" i="3"/>
  <c r="H51" i="3"/>
  <c r="G51" i="3"/>
  <c r="F51" i="3"/>
  <c r="E51" i="3"/>
  <c r="D51" i="3"/>
  <c r="C51" i="3"/>
  <c r="H50" i="3"/>
  <c r="G50" i="3"/>
  <c r="F50" i="3"/>
  <c r="E50" i="3"/>
  <c r="D50" i="3"/>
  <c r="C50" i="3"/>
  <c r="H49" i="3"/>
  <c r="G49" i="3"/>
  <c r="F49" i="3"/>
  <c r="E49" i="3"/>
  <c r="D49" i="3"/>
  <c r="C49" i="3"/>
  <c r="H48" i="3"/>
  <c r="G48" i="3"/>
  <c r="F48" i="3"/>
  <c r="E48" i="3"/>
  <c r="D48" i="3"/>
  <c r="C48" i="3"/>
  <c r="H47" i="3"/>
  <c r="G47" i="3"/>
  <c r="F47" i="3"/>
  <c r="E47" i="3"/>
  <c r="D47" i="3"/>
  <c r="C47" i="3"/>
  <c r="H46" i="3"/>
  <c r="G46" i="3"/>
  <c r="F46" i="3"/>
  <c r="E46" i="3"/>
  <c r="D46" i="3"/>
  <c r="C46" i="3"/>
  <c r="H45" i="3"/>
  <c r="G45" i="3"/>
  <c r="F45" i="3"/>
  <c r="E45" i="3"/>
  <c r="D45" i="3"/>
  <c r="C45" i="3"/>
  <c r="H44" i="3"/>
  <c r="G44" i="3"/>
  <c r="F44" i="3"/>
  <c r="E44" i="3"/>
  <c r="D44" i="3"/>
  <c r="C44" i="3"/>
  <c r="H43" i="3"/>
  <c r="G43" i="3"/>
  <c r="F43" i="3"/>
  <c r="E43" i="3"/>
  <c r="D43" i="3"/>
  <c r="C43" i="3"/>
  <c r="H42" i="3"/>
  <c r="G42" i="3"/>
  <c r="F42" i="3"/>
  <c r="E42" i="3"/>
  <c r="D42" i="3"/>
  <c r="C42" i="3"/>
  <c r="H41" i="3"/>
  <c r="G41" i="3"/>
  <c r="F41" i="3"/>
  <c r="E41" i="3"/>
  <c r="D41" i="3"/>
  <c r="C41" i="3"/>
  <c r="H40" i="3"/>
  <c r="G40" i="3"/>
  <c r="F40" i="3"/>
  <c r="E40" i="3"/>
  <c r="D40" i="3"/>
  <c r="C40" i="3"/>
  <c r="H39" i="3"/>
  <c r="G39" i="3"/>
  <c r="F39" i="3"/>
  <c r="E39" i="3"/>
  <c r="D39" i="3"/>
  <c r="C39" i="3"/>
  <c r="H38" i="3"/>
  <c r="G38" i="3"/>
  <c r="F38" i="3"/>
  <c r="E38" i="3"/>
  <c r="D38" i="3"/>
  <c r="C38" i="3"/>
  <c r="H37" i="3"/>
  <c r="G37" i="3"/>
  <c r="F37" i="3"/>
  <c r="E37" i="3"/>
  <c r="D37" i="3"/>
  <c r="C37" i="3"/>
  <c r="H36" i="3"/>
  <c r="G36" i="3"/>
  <c r="F36" i="3"/>
  <c r="E36" i="3"/>
  <c r="D36" i="3"/>
  <c r="C36" i="3"/>
  <c r="H35" i="3"/>
  <c r="G35" i="3"/>
  <c r="F35" i="3"/>
  <c r="E35" i="3"/>
  <c r="D35" i="3"/>
  <c r="C35" i="3"/>
  <c r="H34" i="3"/>
  <c r="G34" i="3"/>
  <c r="F34" i="3"/>
  <c r="E34" i="3"/>
  <c r="D34" i="3"/>
  <c r="C34" i="3"/>
  <c r="H33" i="3"/>
  <c r="G33" i="3"/>
  <c r="F33" i="3"/>
  <c r="E33" i="3"/>
  <c r="D33" i="3"/>
  <c r="C33" i="3"/>
  <c r="H32" i="3"/>
  <c r="G32" i="3"/>
  <c r="F32" i="3"/>
  <c r="E32" i="3"/>
  <c r="D32" i="3"/>
  <c r="C32" i="3"/>
  <c r="H31" i="3"/>
  <c r="G31" i="3"/>
  <c r="F31" i="3"/>
  <c r="E31" i="3"/>
  <c r="D31" i="3"/>
  <c r="C31" i="3"/>
  <c r="H30" i="3"/>
  <c r="G30" i="3"/>
  <c r="F30" i="3"/>
  <c r="E30" i="3"/>
  <c r="D30" i="3"/>
  <c r="C30" i="3"/>
  <c r="H29" i="3"/>
  <c r="G29" i="3"/>
  <c r="F29" i="3"/>
  <c r="E29" i="3"/>
  <c r="D29" i="3"/>
  <c r="C29" i="3"/>
  <c r="H28" i="3"/>
  <c r="G28" i="3"/>
  <c r="F28" i="3"/>
  <c r="E28" i="3"/>
  <c r="D28" i="3"/>
  <c r="C28" i="3"/>
  <c r="H27" i="3"/>
  <c r="G27" i="3"/>
  <c r="F27" i="3"/>
  <c r="E27" i="3"/>
  <c r="D27" i="3"/>
  <c r="C27" i="3"/>
  <c r="H26" i="3"/>
  <c r="G26" i="3"/>
  <c r="F26" i="3"/>
  <c r="E26" i="3"/>
  <c r="D26" i="3"/>
  <c r="C26" i="3"/>
  <c r="H25" i="3"/>
  <c r="G25" i="3"/>
  <c r="F25" i="3"/>
  <c r="E25" i="3"/>
  <c r="D25" i="3"/>
  <c r="C25" i="3"/>
  <c r="H24" i="3"/>
  <c r="G24" i="3"/>
  <c r="F24" i="3"/>
  <c r="E24" i="3"/>
  <c r="D24" i="3"/>
  <c r="C24" i="3"/>
  <c r="H23" i="3"/>
  <c r="G23" i="3"/>
  <c r="F23" i="3"/>
  <c r="E23" i="3"/>
  <c r="D23" i="3"/>
  <c r="C23" i="3"/>
  <c r="H22" i="3"/>
  <c r="G22" i="3"/>
  <c r="F22" i="3"/>
  <c r="E22" i="3"/>
  <c r="D22" i="3"/>
  <c r="C22" i="3"/>
  <c r="H21" i="3"/>
  <c r="G21" i="3"/>
  <c r="F21" i="3"/>
  <c r="E21" i="3"/>
  <c r="D21" i="3"/>
  <c r="C21" i="3"/>
  <c r="H20" i="3"/>
  <c r="G20" i="3"/>
  <c r="F20" i="3"/>
  <c r="E20" i="3"/>
  <c r="D20" i="3"/>
  <c r="C20" i="3"/>
  <c r="H19" i="3"/>
  <c r="G19" i="3"/>
  <c r="F19" i="3"/>
  <c r="E19" i="3"/>
  <c r="D19" i="3"/>
  <c r="C19" i="3"/>
  <c r="H18" i="3"/>
  <c r="G18" i="3"/>
  <c r="F18" i="3"/>
  <c r="E18" i="3"/>
  <c r="D18" i="3"/>
  <c r="C18" i="3"/>
  <c r="H17" i="3"/>
  <c r="G17" i="3"/>
  <c r="F17" i="3"/>
  <c r="E17" i="3"/>
  <c r="D17" i="3"/>
  <c r="C17" i="3"/>
  <c r="H16" i="3"/>
  <c r="G16" i="3"/>
  <c r="F16" i="3"/>
  <c r="E16" i="3"/>
  <c r="D16" i="3"/>
  <c r="C16" i="3"/>
  <c r="H15" i="3"/>
  <c r="G15" i="3"/>
  <c r="F15" i="3"/>
  <c r="E15" i="3"/>
  <c r="D15" i="3"/>
  <c r="C15" i="3"/>
  <c r="H14" i="3"/>
  <c r="G14" i="3"/>
  <c r="F14" i="3"/>
  <c r="E14" i="3"/>
  <c r="D14" i="3"/>
  <c r="C14" i="3"/>
  <c r="H13" i="3"/>
  <c r="G13" i="3"/>
  <c r="F13" i="3"/>
  <c r="E13" i="3"/>
  <c r="D13" i="3"/>
  <c r="C13" i="3"/>
  <c r="H12" i="3"/>
  <c r="G12" i="3"/>
  <c r="F12" i="3"/>
  <c r="E12" i="3"/>
  <c r="D12" i="3"/>
  <c r="C12" i="3"/>
  <c r="H11" i="3"/>
  <c r="G11" i="3"/>
  <c r="F11" i="3"/>
  <c r="E11" i="3"/>
  <c r="D11" i="3"/>
  <c r="C11" i="3"/>
  <c r="H10" i="3"/>
  <c r="G10" i="3"/>
  <c r="F10" i="3"/>
  <c r="E10" i="3"/>
  <c r="D10" i="3"/>
  <c r="C10" i="3"/>
  <c r="H9" i="3"/>
  <c r="G9" i="3"/>
  <c r="F9" i="3"/>
  <c r="E9" i="3"/>
  <c r="D9" i="3"/>
  <c r="C9" i="3"/>
  <c r="H8" i="3"/>
  <c r="G8" i="3"/>
  <c r="F8" i="3"/>
  <c r="E8" i="3"/>
  <c r="D8" i="3"/>
  <c r="C8" i="3"/>
  <c r="H7" i="3"/>
  <c r="G7" i="3"/>
  <c r="F7" i="3"/>
  <c r="E7" i="3"/>
  <c r="D7" i="3"/>
  <c r="C7" i="3"/>
  <c r="H6" i="3"/>
  <c r="G6" i="3"/>
  <c r="F6" i="3"/>
  <c r="E6" i="3"/>
  <c r="D6" i="3"/>
  <c r="C6" i="3"/>
  <c r="H5" i="3"/>
  <c r="G5" i="3"/>
  <c r="F5" i="3"/>
  <c r="E5" i="3"/>
  <c r="D5" i="3"/>
  <c r="C5" i="3"/>
  <c r="H4" i="3"/>
  <c r="G4" i="3"/>
  <c r="F4" i="3"/>
  <c r="E4" i="3"/>
  <c r="D4" i="3"/>
  <c r="C4" i="3"/>
  <c r="H3" i="3"/>
  <c r="G3" i="3"/>
  <c r="F3" i="3"/>
  <c r="E3" i="3"/>
  <c r="D3" i="3"/>
  <c r="C3" i="3"/>
  <c r="H2" i="3"/>
  <c r="G2" i="3"/>
  <c r="F2" i="3"/>
  <c r="E2" i="3"/>
  <c r="D2" i="3"/>
  <c r="C2" i="3"/>
  <c r="L24" i="10" l="1"/>
  <c r="L23" i="10"/>
  <c r="L20" i="10"/>
  <c r="L19" i="10"/>
  <c r="L17" i="10"/>
  <c r="L16" i="10"/>
  <c r="L15" i="10"/>
  <c r="L14" i="10"/>
  <c r="L13" i="10"/>
  <c r="L12" i="10"/>
  <c r="L11" i="10"/>
  <c r="L36" i="9"/>
  <c r="L34" i="9"/>
  <c r="L33" i="9"/>
  <c r="L29" i="9"/>
  <c r="L24" i="9"/>
  <c r="L21" i="9"/>
  <c r="L19" i="9"/>
  <c r="L16" i="9"/>
  <c r="L14" i="9"/>
  <c r="L27" i="9"/>
  <c r="L25" i="9"/>
  <c r="L22" i="9"/>
  <c r="L20" i="9"/>
  <c r="L18" i="9"/>
  <c r="L15" i="9"/>
  <c r="L13" i="9"/>
  <c r="L12" i="9"/>
  <c r="L11" i="9"/>
  <c r="L26" i="8"/>
  <c r="L25" i="8"/>
  <c r="L24" i="8"/>
  <c r="L23" i="8"/>
  <c r="L22" i="8"/>
  <c r="L21" i="8"/>
  <c r="L20" i="8"/>
  <c r="L19" i="8"/>
  <c r="L18" i="8"/>
  <c r="L17" i="8"/>
  <c r="L16" i="8"/>
  <c r="L15" i="8"/>
  <c r="L14" i="8"/>
  <c r="L13" i="8"/>
  <c r="L12" i="8"/>
  <c r="L11" i="8"/>
  <c r="L31" i="7"/>
  <c r="L25" i="4"/>
  <c r="L11" i="4"/>
  <c r="L30" i="7"/>
  <c r="L29" i="7"/>
  <c r="L28" i="7"/>
  <c r="L27" i="7"/>
  <c r="L26" i="7"/>
  <c r="L25" i="7"/>
  <c r="L24" i="7"/>
  <c r="L23" i="7"/>
  <c r="L22" i="7"/>
  <c r="L21" i="7"/>
  <c r="L20" i="7"/>
  <c r="L19" i="7"/>
  <c r="L18" i="7"/>
  <c r="L17" i="7"/>
  <c r="L16" i="7"/>
  <c r="L15" i="7"/>
  <c r="L14" i="7"/>
  <c r="L13" i="7"/>
  <c r="L12" i="7"/>
  <c r="L11" i="7"/>
  <c r="L24" i="5"/>
  <c r="L20" i="5"/>
  <c r="L17" i="5"/>
  <c r="L14" i="5"/>
  <c r="L11" i="5"/>
  <c r="L24" i="4"/>
  <c r="L19" i="4"/>
  <c r="L17" i="4"/>
  <c r="L32" i="6"/>
  <c r="L31" i="6"/>
  <c r="L30" i="6"/>
  <c r="L29" i="6"/>
  <c r="L28" i="6"/>
  <c r="L27" i="6"/>
  <c r="L26" i="6"/>
  <c r="L25" i="6"/>
  <c r="L24" i="6"/>
  <c r="L23" i="6"/>
  <c r="L22" i="6"/>
  <c r="L21" i="6"/>
  <c r="L20" i="6"/>
  <c r="L19" i="6"/>
  <c r="L18" i="6"/>
  <c r="L17" i="6"/>
  <c r="L16" i="6"/>
  <c r="L15" i="6"/>
  <c r="L14" i="6"/>
  <c r="L13" i="6"/>
  <c r="L12" i="6"/>
  <c r="L11" i="6"/>
  <c r="L26" i="5"/>
  <c r="L25" i="5"/>
  <c r="L23" i="5"/>
  <c r="L21" i="5"/>
  <c r="L19" i="5"/>
  <c r="L15" i="5"/>
  <c r="L12" i="4"/>
  <c r="L22" i="5"/>
  <c r="L18" i="5"/>
  <c r="L16" i="5"/>
  <c r="L13" i="5"/>
  <c r="L12" i="5"/>
  <c r="L16" i="4"/>
  <c r="L15" i="4"/>
  <c r="L14" i="4"/>
  <c r="L13" i="4"/>
  <c r="L23" i="4"/>
  <c r="L22" i="4"/>
  <c r="L21" i="4"/>
  <c r="L20" i="4"/>
  <c r="L18" i="4"/>
  <c r="H75" i="3"/>
  <c r="G75" i="3"/>
  <c r="L26" i="10"/>
  <c r="L25" i="10"/>
  <c r="L22" i="10"/>
  <c r="L21" i="10"/>
  <c r="L18" i="10"/>
  <c r="L37" i="9"/>
  <c r="L35" i="9"/>
  <c r="L32" i="9"/>
  <c r="L31" i="9"/>
  <c r="L30" i="9"/>
  <c r="L28" i="9"/>
  <c r="L26" i="9"/>
  <c r="L23" i="9"/>
  <c r="L17"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tc={606D8101-B81A-4666-9B48-62AFD84E4215}</author>
  </authors>
  <commentList>
    <comment ref="D4" authorId="0" shapeId="0" xr:uid="{606D8101-B81A-4666-9B48-62AFD84E4215}">
      <text>
        <t>[스레드 댓글]
사용 중인 버전의 Excel에서 이 스레드 댓글을 읽을 수 있지만 파일을 이후 버전의 Excel에서 열면 편집 내용이 모두 제거됩니다. 자세한 정보: https://go.microsoft.com/fwlink/?linkid=870924.
댓글:
    완제품리스트 시트 참조</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tc={87835B2A-5099-4696-A4BB-00AB9A714BD6}</author>
    <author>tc={AED8B72B-877B-44B5-B05B-99A129005DBA}</author>
  </authors>
  <commentList>
    <comment ref="G3" authorId="0" shapeId="0" xr:uid="{87835B2A-5099-4696-A4BB-00AB9A714BD6}">
      <text>
        <t>[스레드 댓글]
사용 중인 버전의 Excel에서 이 스레드 댓글을 읽을 수 있지만 파일을 이후 버전의 Excel에서 열면 편집 내용이 모두 제거됩니다. 자세한 정보: https://go.microsoft.com/fwlink/?linkid=870924.
댓글:
    원산지확인서(증명서)가 있다면 해당 국가를, 
없다면 "미상"으로 기재</t>
      </text>
    </comment>
    <comment ref="L3" authorId="1" shapeId="0" xr:uid="{AED8B72B-877B-44B5-B05B-99A129005DBA}">
      <text>
        <t>[스레드 댓글]
사용 중인 버전의 Excel에서 이 스레드 댓글을 읽을 수 있지만 파일을 이후 버전의 Excel에서 열면 편집 내용이 모두 제거됩니다. 자세한 정보: https://go.microsoft.com/fwlink/?linkid=870924.
댓글:
    거래명세서,
수입신고필증,
원산지확인서</t>
      </text>
    </comment>
  </commentList>
</comments>
</file>

<file path=xl/sharedStrings.xml><?xml version="1.0" encoding="utf-8"?>
<sst xmlns="http://schemas.openxmlformats.org/spreadsheetml/2006/main" count="1525" uniqueCount="576">
  <si>
    <t>구분</t>
  </si>
  <si>
    <t>모델</t>
  </si>
  <si>
    <t>자재관리코드</t>
  </si>
  <si>
    <t>품명</t>
  </si>
  <si>
    <t>기능 및 용도</t>
  </si>
  <si>
    <t>소요량</t>
  </si>
  <si>
    <t>구매처</t>
  </si>
  <si>
    <t>비고</t>
  </si>
  <si>
    <t>신조</t>
  </si>
  <si>
    <t>구  분</t>
  </si>
  <si>
    <t>완제품 코드</t>
  </si>
  <si>
    <t>HiNAS 제품 시리얼 넘버 형식</t>
  </si>
  <si>
    <t>대형상선용</t>
  </si>
  <si>
    <t>NS</t>
  </si>
  <si>
    <t>형식</t>
  </si>
  <si>
    <t>완제품 코드-서버 납품연도-일련번호</t>
  </si>
  <si>
    <t>ND</t>
  </si>
  <si>
    <t>서버 납품연도</t>
  </si>
  <si>
    <t>NB</t>
  </si>
  <si>
    <t>일련번호</t>
  </si>
  <si>
    <t>0001 부터 시작, 순차 증가</t>
  </si>
  <si>
    <t>MS</t>
  </si>
  <si>
    <t>제품 코드</t>
  </si>
  <si>
    <t>BOM 기준</t>
  </si>
  <si>
    <t>MD</t>
  </si>
  <si>
    <t>MB</t>
  </si>
  <si>
    <t>BS</t>
  </si>
  <si>
    <t>(신조) HiNAS SVM</t>
  </si>
  <si>
    <t>BD</t>
  </si>
  <si>
    <t>RNS</t>
  </si>
  <si>
    <t>RNB</t>
  </si>
  <si>
    <t>RMS</t>
  </si>
  <si>
    <t>(개조) HiNAS Control</t>
  </si>
  <si>
    <t>RMB</t>
  </si>
  <si>
    <t>RBS</t>
  </si>
  <si>
    <t>HiNAS Control</t>
  </si>
  <si>
    <t>HiNAS SVM</t>
  </si>
  <si>
    <t>개조</t>
  </si>
  <si>
    <t>소요부품(자재) 명세서(Bill of Materials)</t>
    <phoneticPr fontId="14" type="noConversion"/>
  </si>
  <si>
    <t xml:space="preserve"> </t>
    <phoneticPr fontId="14" type="noConversion"/>
  </si>
  <si>
    <t>□ 완제품 품명</t>
    <phoneticPr fontId="14" type="noConversion"/>
  </si>
  <si>
    <t>:</t>
    <phoneticPr fontId="4" type="noConversion"/>
  </si>
  <si>
    <t>(신조) HiNAS Navigation</t>
  </si>
  <si>
    <t>□ HS CODE</t>
    <phoneticPr fontId="4" type="noConversion"/>
  </si>
  <si>
    <t>□ 적용협정</t>
    <phoneticPr fontId="14" type="noConversion"/>
  </si>
  <si>
    <t>□ 원산지결정기준</t>
    <phoneticPr fontId="14" type="noConversion"/>
  </si>
  <si>
    <t>□ 원자재 사용내역</t>
    <phoneticPr fontId="14" type="noConversion"/>
  </si>
  <si>
    <t>연번</t>
    <phoneticPr fontId="14" type="noConversion"/>
  </si>
  <si>
    <t>자재관리코드</t>
    <phoneticPr fontId="4" type="noConversion"/>
  </si>
  <si>
    <t>품명(자재명)</t>
    <phoneticPr fontId="14" type="noConversion"/>
  </si>
  <si>
    <t>기능 및 용도</t>
    <phoneticPr fontId="4" type="noConversion"/>
  </si>
  <si>
    <t>세번부호
(HS No)</t>
    <phoneticPr fontId="14" type="noConversion"/>
  </si>
  <si>
    <t>원산지</t>
    <phoneticPr fontId="14" type="noConversion"/>
  </si>
  <si>
    <t>단위</t>
    <phoneticPr fontId="4" type="noConversion"/>
  </si>
  <si>
    <t>소요량</t>
    <phoneticPr fontId="14" type="noConversion"/>
  </si>
  <si>
    <t>통화</t>
    <phoneticPr fontId="4" type="noConversion"/>
  </si>
  <si>
    <t>단가</t>
    <phoneticPr fontId="4" type="noConversion"/>
  </si>
  <si>
    <t>단가</t>
    <phoneticPr fontId="14" type="noConversion"/>
  </si>
  <si>
    <t>가격</t>
    <phoneticPr fontId="14" type="noConversion"/>
  </si>
  <si>
    <t>구매처</t>
    <phoneticPr fontId="4" type="noConversion"/>
  </si>
  <si>
    <t>구매처</t>
    <phoneticPr fontId="14" type="noConversion"/>
  </si>
  <si>
    <t>입증서류</t>
    <phoneticPr fontId="14" type="noConversion"/>
  </si>
  <si>
    <t>비고</t>
    <phoneticPr fontId="14" type="noConversion"/>
  </si>
  <si>
    <t>SM0001</t>
    <phoneticPr fontId="4" type="noConversion"/>
  </si>
  <si>
    <t>SS0001</t>
  </si>
  <si>
    <t>SZ0013</t>
    <phoneticPr fontId="4" type="noConversion"/>
  </si>
  <si>
    <t>SC0004</t>
    <phoneticPr fontId="4" type="noConversion"/>
  </si>
  <si>
    <t>SC0010</t>
    <phoneticPr fontId="4" type="noConversion"/>
  </si>
  <si>
    <t>SC0002</t>
    <phoneticPr fontId="4" type="noConversion"/>
  </si>
  <si>
    <t>SC0003</t>
    <phoneticPr fontId="4" type="noConversion"/>
  </si>
  <si>
    <t>SC0005</t>
    <phoneticPr fontId="4" type="noConversion"/>
  </si>
  <si>
    <t>SS0003</t>
    <phoneticPr fontId="4" type="noConversion"/>
  </si>
  <si>
    <t>SZ0012</t>
    <phoneticPr fontId="4" type="noConversion"/>
  </si>
  <si>
    <t>SZ0014</t>
    <phoneticPr fontId="4" type="noConversion"/>
  </si>
  <si>
    <t>SB0002</t>
    <phoneticPr fontId="4" type="noConversion"/>
  </si>
  <si>
    <t>SE0003</t>
    <phoneticPr fontId="4" type="noConversion"/>
  </si>
  <si>
    <t>SZ0019</t>
  </si>
  <si>
    <t>SZ0020</t>
  </si>
  <si>
    <t>※ 자유무역협정의 이행을 위한, 원산지 증명서 관련업무 제출을 위하여 작성, 확인합니다.</t>
  </si>
  <si>
    <t>작성자:                                                      ( 서명 )</t>
    <phoneticPr fontId="14" type="noConversion"/>
  </si>
  <si>
    <t>(신조) HiNAS Navigation/DOM</t>
  </si>
  <si>
    <t>SM0002</t>
    <phoneticPr fontId="4" type="noConversion"/>
  </si>
  <si>
    <t>SB0004</t>
    <phoneticPr fontId="4" type="noConversion"/>
  </si>
  <si>
    <t>SZ0012</t>
  </si>
  <si>
    <t>SZ0014</t>
  </si>
  <si>
    <t>SM0003</t>
    <phoneticPr fontId="4" type="noConversion"/>
  </si>
  <si>
    <t>SS0002</t>
  </si>
  <si>
    <t>SZ0006</t>
    <phoneticPr fontId="4" type="noConversion"/>
  </si>
  <si>
    <t>SZ0007</t>
    <phoneticPr fontId="4" type="noConversion"/>
  </si>
  <si>
    <t>SB0002</t>
  </si>
  <si>
    <t>SB0006</t>
    <phoneticPr fontId="4" type="noConversion"/>
  </si>
  <si>
    <t>SB0013</t>
  </si>
  <si>
    <t>SB0011</t>
    <phoneticPr fontId="4" type="noConversion"/>
  </si>
  <si>
    <t>SE0001</t>
    <phoneticPr fontId="4" type="noConversion"/>
  </si>
  <si>
    <t>SC0020</t>
    <phoneticPr fontId="4" type="noConversion"/>
  </si>
  <si>
    <t>SC0016</t>
    <phoneticPr fontId="4" type="noConversion"/>
  </si>
  <si>
    <t>SC0018</t>
    <phoneticPr fontId="4" type="noConversion"/>
  </si>
  <si>
    <t>SC0019</t>
    <phoneticPr fontId="4" type="noConversion"/>
  </si>
  <si>
    <t>SB0022</t>
    <phoneticPr fontId="4" type="noConversion"/>
  </si>
  <si>
    <t>SB0025</t>
    <phoneticPr fontId="4" type="noConversion"/>
  </si>
  <si>
    <t>SC0006</t>
  </si>
  <si>
    <t>SB0022</t>
  </si>
  <si>
    <t>SZ0017</t>
    <phoneticPr fontId="4" type="noConversion"/>
  </si>
  <si>
    <t>SB0021</t>
    <phoneticPr fontId="4" type="noConversion"/>
  </si>
  <si>
    <t>SB0014</t>
    <phoneticPr fontId="4" type="noConversion"/>
  </si>
  <si>
    <t>SZ0002</t>
  </si>
  <si>
    <t>SZ0010</t>
    <phoneticPr fontId="4" type="noConversion"/>
  </si>
  <si>
    <t>SB0008</t>
    <phoneticPr fontId="4" type="noConversion"/>
  </si>
  <si>
    <t>SB0015</t>
  </si>
  <si>
    <t>SZ0021</t>
  </si>
  <si>
    <t>(개조) HiNAS Control/SVM</t>
  </si>
  <si>
    <t>RMB</t>
    <phoneticPr fontId="4" type="noConversion"/>
  </si>
  <si>
    <t>SB0007</t>
    <phoneticPr fontId="4" type="noConversion"/>
  </si>
  <si>
    <t>SZ0001</t>
  </si>
  <si>
    <t>SZ0003</t>
  </si>
  <si>
    <t>SZ0005</t>
    <phoneticPr fontId="4" type="noConversion"/>
  </si>
  <si>
    <t>SZ0004</t>
    <phoneticPr fontId="4" type="noConversion"/>
  </si>
  <si>
    <t>SM0005</t>
    <phoneticPr fontId="4" type="noConversion"/>
  </si>
  <si>
    <t>SS0009</t>
  </si>
  <si>
    <t>RMS</t>
    <phoneticPr fontId="4" type="noConversion"/>
  </si>
  <si>
    <t>SM0001</t>
  </si>
  <si>
    <t>SZ0005</t>
  </si>
  <si>
    <t>자재리스트</t>
    <phoneticPr fontId="4" type="noConversion"/>
  </si>
  <si>
    <t>Maker Part Number</t>
    <phoneticPr fontId="4" type="noConversion"/>
  </si>
  <si>
    <t>비 고(부연설명)</t>
    <phoneticPr fontId="14" type="noConversion"/>
  </si>
  <si>
    <t>모델명</t>
    <phoneticPr fontId="14" type="noConversion"/>
  </si>
  <si>
    <t>-</t>
    <phoneticPr fontId="4" type="noConversion"/>
  </si>
  <si>
    <t>Monitor</t>
    <phoneticPr fontId="4" type="noConversion"/>
  </si>
  <si>
    <t>SM0001-MON01</t>
  </si>
  <si>
    <t>27인치 모니터</t>
    <phoneticPr fontId="4" type="noConversion"/>
  </si>
  <si>
    <t xml:space="preserve"> - </t>
    <phoneticPr fontId="4" type="noConversion"/>
  </si>
  <si>
    <t>한국</t>
  </si>
  <si>
    <t>개</t>
  </si>
  <si>
    <t>KRW</t>
  </si>
  <si>
    <t>MRC/테트라다인</t>
    <phoneticPr fontId="4" type="noConversion"/>
  </si>
  <si>
    <t>거래명세서</t>
  </si>
  <si>
    <t>RCU, RCU cable, RS485 cable, bracket 포함</t>
    <phoneticPr fontId="4" type="noConversion"/>
  </si>
  <si>
    <t>TIMX-W270</t>
  </si>
  <si>
    <t>①</t>
    <phoneticPr fontId="4" type="noConversion"/>
  </si>
  <si>
    <t>②</t>
    <phoneticPr fontId="4" type="noConversion"/>
  </si>
  <si>
    <t>③</t>
    <phoneticPr fontId="4" type="noConversion"/>
  </si>
  <si>
    <t>④</t>
    <phoneticPr fontId="4" type="noConversion"/>
  </si>
  <si>
    <t>SM0002</t>
  </si>
  <si>
    <t>SM0004-DOM02</t>
  </si>
  <si>
    <t>DOM 58.4인치 모니터</t>
    <phoneticPr fontId="4" type="noConversion"/>
  </si>
  <si>
    <t>TIMX-UW584</t>
  </si>
  <si>
    <t>SM0003-MON02</t>
  </si>
  <si>
    <t>32인치 모니터</t>
    <phoneticPr fontId="4" type="noConversion"/>
  </si>
  <si>
    <t>TIMX-W320</t>
  </si>
  <si>
    <t>① 용도 구분</t>
    <phoneticPr fontId="4" type="noConversion"/>
  </si>
  <si>
    <t>SM0004</t>
    <phoneticPr fontId="4" type="noConversion"/>
  </si>
  <si>
    <t>SM0004-DOM01</t>
  </si>
  <si>
    <t>DOM 49.5인치 모니터</t>
    <phoneticPr fontId="4" type="noConversion"/>
  </si>
  <si>
    <t>TIMX-UW495</t>
  </si>
  <si>
    <t>S</t>
    <phoneticPr fontId="4" type="noConversion"/>
  </si>
  <si>
    <t>: 상선제품용</t>
    <phoneticPr fontId="4" type="noConversion"/>
  </si>
  <si>
    <t>Tablet PC</t>
  </si>
  <si>
    <t>SM0005-TAB01</t>
  </si>
  <si>
    <t>Portable 모니터</t>
    <phoneticPr fontId="4" type="noConversion"/>
  </si>
  <si>
    <t>컴퓨존</t>
    <phoneticPr fontId="4" type="noConversion"/>
  </si>
  <si>
    <t>COVER CASE, POWER ADAPTER 포함</t>
    <phoneticPr fontId="4" type="noConversion"/>
  </si>
  <si>
    <t>SM-X520NZAAKOO</t>
  </si>
  <si>
    <t>B</t>
    <phoneticPr fontId="4" type="noConversion"/>
  </si>
  <si>
    <t>: 보트제품용</t>
    <phoneticPr fontId="4" type="noConversion"/>
  </si>
  <si>
    <t>SM0006</t>
    <phoneticPr fontId="4" type="noConversion"/>
  </si>
  <si>
    <t>Dimmer Switch</t>
  </si>
  <si>
    <t>SM0006-DIM01</t>
  </si>
  <si>
    <t>DOM 모니터 Dimming</t>
    <phoneticPr fontId="4" type="noConversion"/>
  </si>
  <si>
    <t>58.4인치</t>
    <phoneticPr fontId="4" type="noConversion"/>
  </si>
  <si>
    <t>TD-RCU</t>
  </si>
  <si>
    <t>C</t>
    <phoneticPr fontId="4" type="noConversion"/>
  </si>
  <si>
    <t>: 공용</t>
    <phoneticPr fontId="4" type="noConversion"/>
  </si>
  <si>
    <t>SM0007</t>
    <phoneticPr fontId="4" type="noConversion"/>
  </si>
  <si>
    <t>SM0007-DIM02</t>
  </si>
  <si>
    <t>모니터 Dimming</t>
    <phoneticPr fontId="4" type="noConversion"/>
  </si>
  <si>
    <t>32인치</t>
    <phoneticPr fontId="4" type="noConversion"/>
  </si>
  <si>
    <t>SM0008</t>
    <phoneticPr fontId="4" type="noConversion"/>
  </si>
  <si>
    <t>SM0008-SVM01</t>
    <phoneticPr fontId="4" type="noConversion"/>
  </si>
  <si>
    <t>SVM 24인치 모니터</t>
    <phoneticPr fontId="4" type="noConversion"/>
  </si>
  <si>
    <t>아르게스마린</t>
    <phoneticPr fontId="4" type="noConversion"/>
  </si>
  <si>
    <t>② 품목군 분류</t>
    <phoneticPr fontId="4" type="noConversion"/>
  </si>
  <si>
    <t>SM0009</t>
    <phoneticPr fontId="4" type="noConversion"/>
  </si>
  <si>
    <t>SM0009-DOM03</t>
    <phoneticPr fontId="4" type="noConversion"/>
  </si>
  <si>
    <t>일진앤드</t>
    <phoneticPr fontId="4" type="noConversion"/>
  </si>
  <si>
    <t>인보이스</t>
    <phoneticPr fontId="4" type="noConversion"/>
  </si>
  <si>
    <t>M: 모니터</t>
  </si>
  <si>
    <t>L: 거리 측정 및 확장</t>
  </si>
  <si>
    <t>S: 서버PC</t>
  </si>
  <si>
    <t>B: 허브 및 스위치</t>
  </si>
  <si>
    <t>SS0001</t>
    <phoneticPr fontId="4" type="noConversion"/>
  </si>
  <si>
    <t>Server</t>
    <phoneticPr fontId="4" type="noConversion"/>
  </si>
  <si>
    <t>SS0001-SER02</t>
  </si>
  <si>
    <t>메인 서버</t>
    <phoneticPr fontId="4" type="noConversion"/>
  </si>
  <si>
    <t>중국</t>
    <phoneticPr fontId="4" type="noConversion"/>
  </si>
  <si>
    <t>테트라다인</t>
    <phoneticPr fontId="4" type="noConversion"/>
  </si>
  <si>
    <t xml:space="preserve"> Dell PC OptiPlex XE4 Tower (i7)</t>
  </si>
  <si>
    <t>C: 카메라 및 구성품</t>
  </si>
  <si>
    <t>Z: ETC</t>
  </si>
  <si>
    <t>Client</t>
    <phoneticPr fontId="4" type="noConversion"/>
  </si>
  <si>
    <t>SS0002-SER03</t>
  </si>
  <si>
    <t>클라이언트 서버</t>
    <phoneticPr fontId="4" type="noConversion"/>
  </si>
  <si>
    <t xml:space="preserve"> Dell PC OptiPlex XE4 Tower (i5)</t>
  </si>
  <si>
    <t>E: 전원/통신 공급 및 연동</t>
  </si>
  <si>
    <t>Single Board Computer</t>
    <phoneticPr fontId="4" type="noConversion"/>
  </si>
  <si>
    <t>SS0003-SBC01</t>
  </si>
  <si>
    <t>카메라와 서버 연동</t>
  </si>
  <si>
    <t>인도</t>
  </si>
  <si>
    <t>KRW</t>
    <phoneticPr fontId="4" type="noConversion"/>
  </si>
  <si>
    <t>사이더스/e-con</t>
  </si>
  <si>
    <t>HUBBLE_CARRIER_BRD_BX</t>
    <phoneticPr fontId="4" type="noConversion"/>
  </si>
  <si>
    <t>SS0004</t>
    <phoneticPr fontId="4" type="noConversion"/>
  </si>
  <si>
    <t>SS0004-SBC02</t>
    <phoneticPr fontId="4" type="noConversion"/>
  </si>
  <si>
    <t>NANO</t>
    <phoneticPr fontId="4" type="noConversion"/>
  </si>
  <si>
    <t>③ 일련번호 순차 채번(0001~9999)</t>
    <phoneticPr fontId="4" type="noConversion"/>
  </si>
  <si>
    <t>SC0001</t>
  </si>
  <si>
    <t>EO camera</t>
  </si>
  <si>
    <t>SC0001-EOC01</t>
  </si>
  <si>
    <t>광학 카메라</t>
  </si>
  <si>
    <t>w. GMSL cable</t>
    <phoneticPr fontId="4" type="noConversion"/>
  </si>
  <si>
    <t>NileCAM21_CUXVR</t>
    <phoneticPr fontId="4" type="noConversion"/>
  </si>
  <si>
    <t>④ 동일 자재 구분 번호(01~99)</t>
    <phoneticPr fontId="4" type="noConversion"/>
  </si>
  <si>
    <t>SC0002</t>
  </si>
  <si>
    <t>IR camera</t>
  </si>
  <si>
    <t>SC0002-IRC01</t>
  </si>
  <si>
    <t>열화상 카메라</t>
  </si>
  <si>
    <t>미국</t>
  </si>
  <si>
    <t>IRKEN/FLIR</t>
    <phoneticPr fontId="4" type="noConversion"/>
  </si>
  <si>
    <t>w. VPC KIT</t>
    <phoneticPr fontId="4" type="noConversion"/>
  </si>
  <si>
    <t>Boson640-8.7mm</t>
    <phoneticPr fontId="4" type="noConversion"/>
  </si>
  <si>
    <t>IR camera window</t>
    <phoneticPr fontId="4" type="noConversion"/>
  </si>
  <si>
    <t>SC0003-IWN01</t>
  </si>
  <si>
    <t>열화상 카메라 윈도우</t>
    <phoneticPr fontId="4" type="noConversion"/>
  </si>
  <si>
    <t>센서캠</t>
    <phoneticPr fontId="4" type="noConversion"/>
  </si>
  <si>
    <t>1세대 용 (직경 42mm)</t>
    <phoneticPr fontId="4" type="noConversion"/>
  </si>
  <si>
    <t>NAS camera housing</t>
    <phoneticPr fontId="4" type="noConversion"/>
  </si>
  <si>
    <t>SC0004-NCH01</t>
    <phoneticPr fontId="4" type="noConversion"/>
  </si>
  <si>
    <t>하우징</t>
  </si>
  <si>
    <t>MRC</t>
  </si>
  <si>
    <t>V1.0</t>
    <phoneticPr fontId="4" type="noConversion"/>
  </si>
  <si>
    <t>NAS junction box</t>
    <phoneticPr fontId="4" type="noConversion"/>
  </si>
  <si>
    <t>SC0005-NJB01</t>
    <phoneticPr fontId="4" type="noConversion"/>
  </si>
  <si>
    <t>정션박스</t>
  </si>
  <si>
    <t>SC0006</t>
    <phoneticPr fontId="4" type="noConversion"/>
  </si>
  <si>
    <t>IP camera</t>
    <phoneticPr fontId="4" type="noConversion"/>
  </si>
  <si>
    <t>SC0006-IPC01</t>
    <phoneticPr fontId="4" type="noConversion"/>
  </si>
  <si>
    <t>카메라</t>
    <phoneticPr fontId="4" type="noConversion"/>
  </si>
  <si>
    <t>GC-F12BN</t>
    <phoneticPr fontId="4" type="noConversion"/>
  </si>
  <si>
    <t>SC0007</t>
    <phoneticPr fontId="4" type="noConversion"/>
  </si>
  <si>
    <t>IP camera</t>
  </si>
  <si>
    <t>SC0007-AIC02</t>
    <phoneticPr fontId="4" type="noConversion"/>
  </si>
  <si>
    <t>방폭카메라</t>
    <phoneticPr fontId="4" type="noConversion"/>
  </si>
  <si>
    <t>GC-XFBN-12F</t>
    <phoneticPr fontId="4" type="noConversion"/>
  </si>
  <si>
    <t>SC0008</t>
    <phoneticPr fontId="4" type="noConversion"/>
  </si>
  <si>
    <t>IP camera housing</t>
  </si>
  <si>
    <t>SC0008-ICH01</t>
  </si>
  <si>
    <t>카메라 하우징</t>
    <phoneticPr fontId="4" type="noConversion"/>
  </si>
  <si>
    <t>SC0009</t>
    <phoneticPr fontId="4" type="noConversion"/>
  </si>
  <si>
    <t>IP camera housing</t>
    <phoneticPr fontId="4" type="noConversion"/>
  </si>
  <si>
    <t>SC0009-ACH02</t>
  </si>
  <si>
    <t>방폭카메라 하우징</t>
    <phoneticPr fontId="4" type="noConversion"/>
  </si>
  <si>
    <t>AVEC-ExDome-M04</t>
    <phoneticPr fontId="4" type="noConversion"/>
  </si>
  <si>
    <t>EO Camera</t>
    <phoneticPr fontId="4" type="noConversion"/>
  </si>
  <si>
    <t>SC0010-EOC02</t>
  </si>
  <si>
    <t>광학 카메라(4K)</t>
    <phoneticPr fontId="4" type="noConversion"/>
  </si>
  <si>
    <t>STURDeCAM81</t>
    <phoneticPr fontId="4" type="noConversion"/>
  </si>
  <si>
    <t>SC0011</t>
  </si>
  <si>
    <t>LiDAR bracket</t>
    <phoneticPr fontId="4" type="noConversion"/>
  </si>
  <si>
    <t>SC0011-LBR01</t>
  </si>
  <si>
    <t>브라켓</t>
    <phoneticPr fontId="4" type="noConversion"/>
  </si>
  <si>
    <t>SC0012</t>
  </si>
  <si>
    <t>SC0012-EOC03</t>
    <phoneticPr fontId="4" type="noConversion"/>
  </si>
  <si>
    <t>광학 카메라(BAS)</t>
    <phoneticPr fontId="4" type="noConversion"/>
  </si>
  <si>
    <t>See3CAM_CU135_CH_TC</t>
    <phoneticPr fontId="4" type="noConversion"/>
  </si>
  <si>
    <t>SC0013</t>
  </si>
  <si>
    <t>SC0013-ICH02</t>
    <phoneticPr fontId="4" type="noConversion"/>
  </si>
  <si>
    <t>카메라 하우징(AS) - 사각타입</t>
  </si>
  <si>
    <t>IP CAMERA housing V1.0</t>
    <phoneticPr fontId="4" type="noConversion"/>
  </si>
  <si>
    <t>SC0014</t>
    <phoneticPr fontId="4" type="noConversion"/>
  </si>
  <si>
    <t>SC0014-IPC02</t>
    <phoneticPr fontId="4" type="noConversion"/>
  </si>
  <si>
    <t>카메라 하우징(AS) - 원형타입</t>
    <phoneticPr fontId="4" type="noConversion"/>
  </si>
  <si>
    <t>IP CAMERA with housing V2.0</t>
    <phoneticPr fontId="4" type="noConversion"/>
  </si>
  <si>
    <t>SC0015</t>
    <phoneticPr fontId="4" type="noConversion"/>
  </si>
  <si>
    <t>SC0015-ICH03</t>
    <phoneticPr fontId="4" type="noConversion"/>
  </si>
  <si>
    <t>IP CAMERA housing V1.0 (회수)</t>
    <phoneticPr fontId="4" type="noConversion"/>
  </si>
  <si>
    <t>NAS Camera housing cable</t>
  </si>
  <si>
    <t>SC0016-CAB01</t>
    <phoneticPr fontId="4" type="noConversion"/>
  </si>
  <si>
    <t xml:space="preserve">2세대 카메라하우징 케이블 </t>
    <phoneticPr fontId="4" type="noConversion"/>
  </si>
  <si>
    <t>미림테크놀러지</t>
    <phoneticPr fontId="4" type="noConversion"/>
  </si>
  <si>
    <t>SC0017</t>
    <phoneticPr fontId="4" type="noConversion"/>
  </si>
  <si>
    <t>SC0017-IPC03</t>
    <phoneticPr fontId="4" type="noConversion"/>
  </si>
  <si>
    <t>카메라(AS)</t>
    <phoneticPr fontId="4" type="noConversion"/>
  </si>
  <si>
    <t>MRC</t>
    <phoneticPr fontId="4" type="noConversion"/>
  </si>
  <si>
    <t>XNF-8010RV</t>
    <phoneticPr fontId="4" type="noConversion"/>
  </si>
  <si>
    <t>SC0018</t>
  </si>
  <si>
    <t>SC0018-EOC03</t>
    <phoneticPr fontId="4" type="noConversion"/>
  </si>
  <si>
    <t>한국</t>
    <phoneticPr fontId="4" type="noConversion"/>
  </si>
  <si>
    <t>세트</t>
    <phoneticPr fontId="4" type="noConversion"/>
  </si>
  <si>
    <t>거래명세서</t>
    <phoneticPr fontId="4" type="noConversion"/>
  </si>
  <si>
    <t>w. IR Ip-board, EO glass, Receptacle harness, Waterproof cap</t>
    <phoneticPr fontId="4" type="noConversion"/>
  </si>
  <si>
    <t>2BN module(일체)</t>
    <phoneticPr fontId="4" type="noConversion"/>
  </si>
  <si>
    <t>SC0019</t>
  </si>
  <si>
    <t>SC0019-IWN02</t>
    <phoneticPr fontId="4" type="noConversion"/>
  </si>
  <si>
    <t>개</t>
    <phoneticPr fontId="4" type="noConversion"/>
  </si>
  <si>
    <t>2세대 용 (직경 45mm)</t>
    <phoneticPr fontId="4" type="noConversion"/>
  </si>
  <si>
    <t>SC0020-NCH02</t>
    <phoneticPr fontId="4" type="noConversion"/>
  </si>
  <si>
    <t>V2.0</t>
    <phoneticPr fontId="4" type="noConversion"/>
  </si>
  <si>
    <t>SB0001</t>
  </si>
  <si>
    <t>L2 Switch</t>
  </si>
  <si>
    <t>SB0001-L2S01</t>
  </si>
  <si>
    <t>허브</t>
  </si>
  <si>
    <t>Aruba 1430 (R8R45A)</t>
    <phoneticPr fontId="4" type="noConversion"/>
  </si>
  <si>
    <t>Network switch</t>
    <phoneticPr fontId="4" type="noConversion"/>
  </si>
  <si>
    <t>SB0002-L2S02</t>
  </si>
  <si>
    <t>허브 (선급인증품)</t>
    <phoneticPr fontId="4" type="noConversion"/>
  </si>
  <si>
    <t>여의시스템</t>
    <phoneticPr fontId="4" type="noConversion"/>
  </si>
  <si>
    <t>EDS-G508E</t>
    <phoneticPr fontId="4" type="noConversion"/>
  </si>
  <si>
    <t>SB0003</t>
    <phoneticPr fontId="4" type="noConversion"/>
  </si>
  <si>
    <t>Firewall</t>
  </si>
  <si>
    <t>SB0003-FIR01</t>
  </si>
  <si>
    <t>방화벽</t>
  </si>
  <si>
    <t>SB0004-FIR02</t>
  </si>
  <si>
    <t>방화벽 (선급인증품)</t>
    <phoneticPr fontId="4" type="noConversion"/>
  </si>
  <si>
    <t>FGR-60F</t>
    <phoneticPr fontId="4" type="noConversion"/>
  </si>
  <si>
    <t>SB0005</t>
    <phoneticPr fontId="4" type="noConversion"/>
  </si>
  <si>
    <t>Serial to Ethernet</t>
    <phoneticPr fontId="4" type="noConversion"/>
  </si>
  <si>
    <t>SB0005-SCO02</t>
  </si>
  <si>
    <t>시리얼 통신을 LAN으로 변환</t>
    <phoneticPr fontId="4" type="noConversion"/>
  </si>
  <si>
    <t>MDCU</t>
    <phoneticPr fontId="4" type="noConversion"/>
  </si>
  <si>
    <t>SB0006-SCO01</t>
  </si>
  <si>
    <t>NPort5450i</t>
    <phoneticPr fontId="4" type="noConversion"/>
  </si>
  <si>
    <t>PoE HUB</t>
    <phoneticPr fontId="4" type="noConversion"/>
  </si>
  <si>
    <t>SB0007-POE02</t>
  </si>
  <si>
    <t>IP 카메라에 전원 공급</t>
    <phoneticPr fontId="4" type="noConversion"/>
  </si>
  <si>
    <t>제씨테크</t>
  </si>
  <si>
    <t>w. SMPS</t>
    <phoneticPr fontId="4" type="noConversion"/>
  </si>
  <si>
    <t>IGS-4215-4P4T</t>
    <phoneticPr fontId="4" type="noConversion"/>
  </si>
  <si>
    <t>LRP</t>
    <phoneticPr fontId="4" type="noConversion"/>
  </si>
  <si>
    <t>SB0008-LRP02</t>
  </si>
  <si>
    <t>LAN 통신 거리 연장 및 전원공급</t>
    <phoneticPr fontId="4" type="noConversion"/>
  </si>
  <si>
    <t>LRP-101U-KIT</t>
    <phoneticPr fontId="4" type="noConversion"/>
  </si>
  <si>
    <t>SB0009</t>
    <phoneticPr fontId="4" type="noConversion"/>
  </si>
  <si>
    <t>PoE-E201</t>
  </si>
  <si>
    <t>SB0009-REP01</t>
  </si>
  <si>
    <t>LAN 통신 거리 연장</t>
  </si>
  <si>
    <t>SB0010</t>
    <phoneticPr fontId="4" type="noConversion"/>
  </si>
  <si>
    <t>PoE-E202</t>
  </si>
  <si>
    <t>SB0010-REP02</t>
  </si>
  <si>
    <t>LAN 통신 거리 연장</t>
    <phoneticPr fontId="4" type="noConversion"/>
  </si>
  <si>
    <t>Selector Switch</t>
    <phoneticPr fontId="4" type="noConversion"/>
  </si>
  <si>
    <t>SB0011-MSW01</t>
  </si>
  <si>
    <t>HiNAS control 선택 스위치</t>
    <phoneticPr fontId="4" type="noConversion"/>
  </si>
  <si>
    <t>USD</t>
    <phoneticPr fontId="4" type="noConversion"/>
  </si>
  <si>
    <t>MRC/YDK</t>
    <phoneticPr fontId="4" type="noConversion"/>
  </si>
  <si>
    <t>YOKOGAWA (w. DIMMER BOX)</t>
    <phoneticPr fontId="4" type="noConversion"/>
  </si>
  <si>
    <t>MPH731</t>
  </si>
  <si>
    <t>SB0012</t>
    <phoneticPr fontId="4" type="noConversion"/>
  </si>
  <si>
    <t>LiDAR</t>
  </si>
  <si>
    <t>SB0012-LID01</t>
  </si>
  <si>
    <t>선박과 안벽간 거리 측정 장비</t>
    <phoneticPr fontId="4" type="noConversion"/>
  </si>
  <si>
    <t>OUSTER</t>
  </si>
  <si>
    <t>OS1-32U</t>
  </si>
  <si>
    <t>SB0013</t>
    <phoneticPr fontId="4" type="noConversion"/>
  </si>
  <si>
    <t>Actisense OPTO-4</t>
    <phoneticPr fontId="4" type="noConversion"/>
  </si>
  <si>
    <t>SB0002-L2S03</t>
  </si>
  <si>
    <t>MOXA NPort5450i 케이블</t>
    <phoneticPr fontId="4" type="noConversion"/>
  </si>
  <si>
    <t>마린크래프트</t>
    <phoneticPr fontId="4" type="noConversion"/>
  </si>
  <si>
    <t>Actisense OPTO-4</t>
  </si>
  <si>
    <t>UNO2-PS-1AC-48DC-240W</t>
    <phoneticPr fontId="4" type="noConversion"/>
  </si>
  <si>
    <t>SB0014-PSU02</t>
    <phoneticPr fontId="4" type="noConversion"/>
  </si>
  <si>
    <t>PoE HUB용 240W 파워 서플라이</t>
    <phoneticPr fontId="4" type="noConversion"/>
  </si>
  <si>
    <t>세종전자</t>
    <phoneticPr fontId="4" type="noConversion"/>
  </si>
  <si>
    <t>UNO2-PS-1AC-48DC-240W</t>
  </si>
  <si>
    <t>SB0015</t>
    <phoneticPr fontId="4" type="noConversion"/>
  </si>
  <si>
    <t>UNO-PS-1AC-48DC-60W</t>
    <phoneticPr fontId="4" type="noConversion"/>
  </si>
  <si>
    <t>SB0015-PSU03</t>
    <phoneticPr fontId="4" type="noConversion"/>
  </si>
  <si>
    <t>LRP용 60W 파워 서플라이</t>
    <phoneticPr fontId="4" type="noConversion"/>
  </si>
  <si>
    <t>UNO-PS-1AC-48DC-60W</t>
  </si>
  <si>
    <t>SB0016</t>
    <phoneticPr fontId="4" type="noConversion"/>
  </si>
  <si>
    <t>DIN RAIL STOPPER</t>
    <phoneticPr fontId="4" type="noConversion"/>
  </si>
  <si>
    <t>SB0016-BRK01</t>
    <phoneticPr fontId="4" type="noConversion"/>
  </si>
  <si>
    <t>파워서플라이 설치 후 고정용</t>
    <phoneticPr fontId="4" type="noConversion"/>
  </si>
  <si>
    <t>SB0017</t>
  </si>
  <si>
    <t>DIN RAIL BRACKET</t>
    <phoneticPr fontId="4" type="noConversion"/>
  </si>
  <si>
    <t>SB0017-BRK02</t>
    <phoneticPr fontId="4" type="noConversion"/>
  </si>
  <si>
    <t>LRP 설치용 브라켓</t>
    <phoneticPr fontId="4" type="noConversion"/>
  </si>
  <si>
    <t>제씨테크</t>
    <phoneticPr fontId="4" type="noConversion"/>
  </si>
  <si>
    <t>SB0018</t>
    <phoneticPr fontId="4" type="noConversion"/>
  </si>
  <si>
    <t>SB0018-SCO03</t>
    <phoneticPr fontId="4" type="noConversion"/>
  </si>
  <si>
    <t>NPort 5650-8-DT</t>
    <phoneticPr fontId="4" type="noConversion"/>
  </si>
  <si>
    <t>SB0019</t>
    <phoneticPr fontId="4" type="noConversion"/>
  </si>
  <si>
    <t>SB0019-SCO04</t>
    <phoneticPr fontId="4" type="noConversion"/>
  </si>
  <si>
    <t>NPort 5650I-8-DT</t>
    <phoneticPr fontId="4" type="noConversion"/>
  </si>
  <si>
    <t>SB0020</t>
  </si>
  <si>
    <t>SB0020-SCO05</t>
    <phoneticPr fontId="4" type="noConversion"/>
  </si>
  <si>
    <t>NPort 6650-16</t>
    <phoneticPr fontId="4" type="noConversion"/>
  </si>
  <si>
    <t>PoE-Extender</t>
    <phoneticPr fontId="4" type="noConversion"/>
  </si>
  <si>
    <t>SB0021-REP03</t>
    <phoneticPr fontId="4" type="noConversion"/>
  </si>
  <si>
    <t>INTERCOAX EPR-1001</t>
    <phoneticPr fontId="4" type="noConversion"/>
  </si>
  <si>
    <t>Network PoE Switch</t>
    <phoneticPr fontId="4" type="noConversion"/>
  </si>
  <si>
    <t>SB0022-POE03</t>
    <phoneticPr fontId="4" type="noConversion"/>
  </si>
  <si>
    <t>EDS-G4012-8P-4QGS-LVB</t>
    <phoneticPr fontId="4" type="noConversion"/>
  </si>
  <si>
    <t>SB0023</t>
  </si>
  <si>
    <t>SB0023-SCO03</t>
    <phoneticPr fontId="4" type="noConversion"/>
  </si>
  <si>
    <t>M GATE MB3270</t>
    <phoneticPr fontId="4" type="noConversion"/>
  </si>
  <si>
    <t>SB0024</t>
    <phoneticPr fontId="4" type="noConversion"/>
  </si>
  <si>
    <t>SB0024-LRP03</t>
    <phoneticPr fontId="4" type="noConversion"/>
  </si>
  <si>
    <t>LRP-111U-KIT</t>
    <phoneticPr fontId="4" type="noConversion"/>
  </si>
  <si>
    <t>SB0025</t>
  </si>
  <si>
    <t>UNO2-PS-1AC-24DC-240W</t>
    <phoneticPr fontId="4" type="noConversion"/>
  </si>
  <si>
    <t>SB0025-PSU04</t>
    <phoneticPr fontId="4" type="noConversion"/>
  </si>
  <si>
    <t>POE SWITCH 용 240W 파워 서플라이</t>
    <phoneticPr fontId="4" type="noConversion"/>
  </si>
  <si>
    <t xml:space="preserve"> - </t>
  </si>
  <si>
    <t>UPS</t>
  </si>
  <si>
    <t>SE0001-UPS02</t>
  </si>
  <si>
    <t>3kVA, 무정전 전원 공급, Rack type</t>
    <phoneticPr fontId="4" type="noConversion"/>
  </si>
  <si>
    <t>기호티이에스</t>
    <phoneticPr fontId="4" type="noConversion"/>
  </si>
  <si>
    <t>마린필터, network card, 케이블 포함</t>
    <phoneticPr fontId="4" type="noConversion"/>
  </si>
  <si>
    <t>SE0002</t>
    <phoneticPr fontId="4" type="noConversion"/>
  </si>
  <si>
    <t>SE0002-UPS03</t>
  </si>
  <si>
    <t>1.5kVA, 무정전 전원 공급, Rack type</t>
    <phoneticPr fontId="4" type="noConversion"/>
  </si>
  <si>
    <t>SE0003-UPS01</t>
  </si>
  <si>
    <t>1kVA, 무정전 전원 공급, Stand type</t>
    <phoneticPr fontId="4" type="noConversion"/>
  </si>
  <si>
    <t>SE0004</t>
    <phoneticPr fontId="4" type="noConversion"/>
  </si>
  <si>
    <t>UPS</t>
    <phoneticPr fontId="4" type="noConversion"/>
  </si>
  <si>
    <t>SE0004-UPS04</t>
    <phoneticPr fontId="4" type="noConversion"/>
  </si>
  <si>
    <t>3kVA, 무정전 전원 공급, Stand type</t>
    <phoneticPr fontId="4" type="noConversion"/>
  </si>
  <si>
    <t>SE0005</t>
    <phoneticPr fontId="4" type="noConversion"/>
  </si>
  <si>
    <t>SE0005-UPS05</t>
    <phoneticPr fontId="4" type="noConversion"/>
  </si>
  <si>
    <t>EATON 5P 850G</t>
    <phoneticPr fontId="4" type="noConversion"/>
  </si>
  <si>
    <t>Junction Box</t>
    <phoneticPr fontId="4" type="noConversion"/>
  </si>
  <si>
    <t>SZ0001-PJB01</t>
  </si>
  <si>
    <t>PoE Hub 용</t>
    <phoneticPr fontId="4" type="noConversion"/>
  </si>
  <si>
    <t>명판 포함</t>
    <phoneticPr fontId="4" type="noConversion"/>
  </si>
  <si>
    <t>SZ0002</t>
    <phoneticPr fontId="4" type="noConversion"/>
  </si>
  <si>
    <t>SZ0002-LJB01</t>
    <phoneticPr fontId="4" type="noConversion"/>
  </si>
  <si>
    <t>LRP Injector용</t>
    <phoneticPr fontId="4" type="noConversion"/>
  </si>
  <si>
    <t>SZ0003</t>
    <phoneticPr fontId="4" type="noConversion"/>
  </si>
  <si>
    <t>SZ0003-LJB02</t>
  </si>
  <si>
    <t>방폭형, LRP Extender용</t>
    <phoneticPr fontId="4" type="noConversion"/>
  </si>
  <si>
    <t>AP</t>
    <phoneticPr fontId="4" type="noConversion"/>
  </si>
  <si>
    <t>SZ0004-WAP01</t>
  </si>
  <si>
    <t>무선 공유기</t>
  </si>
  <si>
    <t>쿠팡</t>
    <phoneticPr fontId="4" type="noConversion"/>
  </si>
  <si>
    <t>AX3000M</t>
  </si>
  <si>
    <t>keyboard &amp; mouse</t>
    <phoneticPr fontId="4" type="noConversion"/>
  </si>
  <si>
    <t>SZ0005-KEM01</t>
  </si>
  <si>
    <t>입력기기</t>
  </si>
  <si>
    <t>세트</t>
  </si>
  <si>
    <t>MK270r</t>
  </si>
  <si>
    <t>Keyboard with trackball</t>
    <phoneticPr fontId="4" type="noConversion"/>
  </si>
  <si>
    <t>SZ0006-KEM02</t>
  </si>
  <si>
    <t>선급인증품</t>
    <phoneticPr fontId="4" type="noConversion"/>
  </si>
  <si>
    <t>피앤피컴포넌츠</t>
    <phoneticPr fontId="4" type="noConversion"/>
  </si>
  <si>
    <t>panel mount / flush type</t>
    <phoneticPr fontId="4" type="noConversion"/>
  </si>
  <si>
    <t>RKTE85B2448-W-MC1</t>
  </si>
  <si>
    <t>Main rack</t>
  </si>
  <si>
    <t>SZ0007-MRA01</t>
  </si>
  <si>
    <t>서버/HUB 등 설치용 Rack</t>
    <phoneticPr fontId="4" type="noConversion"/>
  </si>
  <si>
    <t>SZ0008</t>
    <phoneticPr fontId="4" type="noConversion"/>
  </si>
  <si>
    <t>M12 connector</t>
    <phoneticPr fontId="4" type="noConversion"/>
  </si>
  <si>
    <t>SZ0008-ICB01</t>
  </si>
  <si>
    <t>IP 카메라용 케이블 컨넥터</t>
    <phoneticPr fontId="4" type="noConversion"/>
  </si>
  <si>
    <t>SZ0009</t>
  </si>
  <si>
    <t>SZ0009-NJB02</t>
    <phoneticPr fontId="4" type="noConversion"/>
  </si>
  <si>
    <t>방폭형</t>
    <phoneticPr fontId="4" type="noConversion"/>
  </si>
  <si>
    <t>SZ0010</t>
  </si>
  <si>
    <t>SZ0010LJB03</t>
    <phoneticPr fontId="4" type="noConversion"/>
  </si>
  <si>
    <t>LRP Extender용</t>
    <phoneticPr fontId="4" type="noConversion"/>
  </si>
  <si>
    <t>SZ0011</t>
    <phoneticPr fontId="4" type="noConversion"/>
  </si>
  <si>
    <t>PCI card</t>
    <phoneticPr fontId="4" type="noConversion"/>
  </si>
  <si>
    <t>SZ0011-PCI01</t>
    <phoneticPr fontId="4" type="noConversion"/>
  </si>
  <si>
    <t>모니터 buzzer 소리 제어용</t>
    <phoneticPr fontId="4" type="noConversion"/>
  </si>
  <si>
    <t>CP-132EL-I-DB9M</t>
    <phoneticPr fontId="4" type="noConversion"/>
  </si>
  <si>
    <t>SMPS</t>
    <phoneticPr fontId="4" type="noConversion"/>
  </si>
  <si>
    <t>SZ0012-PSU01</t>
    <phoneticPr fontId="4" type="noConversion"/>
  </si>
  <si>
    <t>Single Board Computer  전원 공급</t>
    <phoneticPr fontId="4" type="noConversion"/>
  </si>
  <si>
    <t>파워캅</t>
    <phoneticPr fontId="4" type="noConversion"/>
  </si>
  <si>
    <t>UP300-F-12TUF</t>
    <phoneticPr fontId="4" type="noConversion"/>
  </si>
  <si>
    <t>Trackball Mouse</t>
    <phoneticPr fontId="4" type="noConversion"/>
  </si>
  <si>
    <t>SZ0013-KEM03</t>
    <phoneticPr fontId="4" type="noConversion"/>
  </si>
  <si>
    <t>마우스</t>
    <phoneticPr fontId="4" type="noConversion"/>
  </si>
  <si>
    <t>K72337</t>
    <phoneticPr fontId="4" type="noConversion"/>
  </si>
  <si>
    <t>EMI/EMC filter</t>
    <phoneticPr fontId="4" type="noConversion"/>
  </si>
  <si>
    <t>SZ0014-EMI01</t>
    <phoneticPr fontId="4" type="noConversion"/>
  </si>
  <si>
    <t>정션박스 전자파 차폐용</t>
    <phoneticPr fontId="4" type="noConversion"/>
  </si>
  <si>
    <t>오키</t>
    <phoneticPr fontId="4" type="noConversion"/>
  </si>
  <si>
    <t>A2B2030-UB</t>
    <phoneticPr fontId="4" type="noConversion"/>
  </si>
  <si>
    <t>SZ0015</t>
  </si>
  <si>
    <t>Hardwire Controller</t>
    <phoneticPr fontId="4" type="noConversion"/>
  </si>
  <si>
    <t>SZ0015-HCT01</t>
    <phoneticPr fontId="4" type="noConversion"/>
  </si>
  <si>
    <t>어드밴텍</t>
    <phoneticPr fontId="4" type="noConversion"/>
  </si>
  <si>
    <t>ADAM-6060-D1</t>
    <phoneticPr fontId="4" type="noConversion"/>
  </si>
  <si>
    <t>SZ0016</t>
    <phoneticPr fontId="4" type="noConversion"/>
  </si>
  <si>
    <t>PoE Splitter</t>
    <phoneticPr fontId="4" type="noConversion"/>
  </si>
  <si>
    <t>SZ0016-PST01</t>
    <phoneticPr fontId="4" type="noConversion"/>
  </si>
  <si>
    <t>SZ0017-PJB02</t>
    <phoneticPr fontId="4" type="noConversion"/>
  </si>
  <si>
    <t>PoE Extender 용</t>
    <phoneticPr fontId="4" type="noConversion"/>
  </si>
  <si>
    <t>SZ0018</t>
  </si>
  <si>
    <t>NMEA buffer</t>
  </si>
  <si>
    <t>SZ0018-DST01</t>
    <phoneticPr fontId="4" type="noConversion"/>
  </si>
  <si>
    <t>Serial distributor</t>
    <phoneticPr fontId="4" type="noConversion"/>
  </si>
  <si>
    <t>지노스</t>
    <phoneticPr fontId="4" type="noConversion"/>
  </si>
  <si>
    <t>ZNR-140</t>
    <phoneticPr fontId="4" type="noConversion"/>
  </si>
  <si>
    <t>멀티탭</t>
    <phoneticPr fontId="4" type="noConversion"/>
  </si>
  <si>
    <t>SZ0019-POT01</t>
    <phoneticPr fontId="4" type="noConversion"/>
  </si>
  <si>
    <t>UPS용</t>
    <phoneticPr fontId="4" type="noConversion"/>
  </si>
  <si>
    <t>C13-C14(MALE)</t>
    <phoneticPr fontId="4" type="noConversion"/>
  </si>
  <si>
    <t>SZ0020-MSK01</t>
    <phoneticPr fontId="4" type="noConversion"/>
  </si>
  <si>
    <t>한주전자</t>
    <phoneticPr fontId="4" type="noConversion"/>
  </si>
  <si>
    <t>SZ0021</t>
    <phoneticPr fontId="4" type="noConversion"/>
  </si>
  <si>
    <t>24V SMPS</t>
    <phoneticPr fontId="4" type="noConversion"/>
  </si>
  <si>
    <t>SZ0021-PSU04</t>
    <phoneticPr fontId="4" type="noConversion"/>
  </si>
  <si>
    <t>Network Switch, Serial to Ethernet용</t>
    <phoneticPr fontId="4" type="noConversion"/>
  </si>
  <si>
    <t>HDR-60-24</t>
    <phoneticPr fontId="4" type="noConversion"/>
  </si>
  <si>
    <t>SZ0022</t>
    <phoneticPr fontId="4" type="noConversion"/>
  </si>
  <si>
    <t>SZ0022-PJB02</t>
    <phoneticPr fontId="4" type="noConversion"/>
  </si>
  <si>
    <t>Network POE switch 용</t>
    <phoneticPr fontId="4" type="noConversion"/>
  </si>
  <si>
    <t>SZ0023</t>
    <phoneticPr fontId="4" type="noConversion"/>
  </si>
  <si>
    <t>SZ0023-KEM03</t>
    <phoneticPr fontId="4" type="noConversion"/>
  </si>
  <si>
    <t>Desk type</t>
    <phoneticPr fontId="4" type="noConversion"/>
  </si>
  <si>
    <t>RKTE85S2448-W-MC1</t>
    <phoneticPr fontId="4" type="noConversion"/>
  </si>
  <si>
    <t>완제품리스트</t>
    <phoneticPr fontId="4" type="noConversion"/>
  </si>
  <si>
    <t>구  분</t>
    <phoneticPr fontId="4" type="noConversion"/>
  </si>
  <si>
    <t>완제품 코드</t>
    <phoneticPr fontId="14" type="noConversion"/>
  </si>
  <si>
    <t>완제품 품명</t>
    <phoneticPr fontId="14" type="noConversion"/>
  </si>
  <si>
    <t>주요 사양</t>
    <phoneticPr fontId="4" type="noConversion"/>
  </si>
  <si>
    <t>대형상선용</t>
    <phoneticPr fontId="4" type="noConversion"/>
  </si>
  <si>
    <t>NS</t>
    <phoneticPr fontId="4" type="noConversion"/>
  </si>
  <si>
    <t>(NewBuilding) HiNAS Navigation</t>
    <phoneticPr fontId="4" type="noConversion"/>
  </si>
  <si>
    <t>ND</t>
    <phoneticPr fontId="4" type="noConversion"/>
  </si>
  <si>
    <t>(NewBuilding) HiNAS Navigation/DOM</t>
    <phoneticPr fontId="4" type="noConversion"/>
  </si>
  <si>
    <t>NB</t>
    <phoneticPr fontId="4" type="noConversion"/>
  </si>
  <si>
    <t>(NewBuilding) HiNAS Navigation/SVM</t>
    <phoneticPr fontId="4" type="noConversion"/>
  </si>
  <si>
    <t>MS</t>
    <phoneticPr fontId="4" type="noConversion"/>
  </si>
  <si>
    <t>(NewBuilding) HiNAS Control</t>
    <phoneticPr fontId="4" type="noConversion"/>
  </si>
  <si>
    <t>MD</t>
    <phoneticPr fontId="4" type="noConversion"/>
  </si>
  <si>
    <t>(NewBuilding) HiNAS Control/DOM</t>
    <phoneticPr fontId="4" type="noConversion"/>
  </si>
  <si>
    <t>MB</t>
    <phoneticPr fontId="4" type="noConversion"/>
  </si>
  <si>
    <t>(NewBuilding) HiNAS Control/SVM</t>
    <phoneticPr fontId="4" type="noConversion"/>
  </si>
  <si>
    <t>BS</t>
    <phoneticPr fontId="4" type="noConversion"/>
  </si>
  <si>
    <t>(NewBuilding) HiNAS SVM</t>
    <phoneticPr fontId="4" type="noConversion"/>
  </si>
  <si>
    <t>BD</t>
    <phoneticPr fontId="4" type="noConversion"/>
  </si>
  <si>
    <t>(NewBuilding) HiNAS SVM/DOM</t>
    <phoneticPr fontId="4" type="noConversion"/>
  </si>
  <si>
    <t>(Retrofit) HiNAS Navigation</t>
    <phoneticPr fontId="4" type="noConversion"/>
  </si>
  <si>
    <t>(Retrofit) HiNAS Navigation/SVM</t>
    <phoneticPr fontId="4" type="noConversion"/>
  </si>
  <si>
    <t>(Retrofit) HiNAS Control</t>
    <phoneticPr fontId="4" type="noConversion"/>
  </si>
  <si>
    <t>(Retrofit) HiNAS Control/SVM</t>
    <phoneticPr fontId="4" type="noConversion"/>
  </si>
  <si>
    <t>(Retrofit) HiNAS SVM</t>
    <phoneticPr fontId="4" type="noConversion"/>
  </si>
  <si>
    <t>레저보트용</t>
    <phoneticPr fontId="4" type="noConversion"/>
  </si>
  <si>
    <t>NDB</t>
  </si>
  <si>
    <t>NeuBoat_DOCK Basic</t>
  </si>
  <si>
    <t>ND2</t>
  </si>
  <si>
    <t>NeuBoat_DOCK 2</t>
  </si>
  <si>
    <t>CD1</t>
  </si>
  <si>
    <t>CoPilot DOCK</t>
  </si>
  <si>
    <t>CA1</t>
  </si>
  <si>
    <t>CoPilot AUTODOCK</t>
  </si>
  <si>
    <t>CC1</t>
  </si>
  <si>
    <t>CoPilot CONTROL</t>
  </si>
  <si>
    <t>HiNAS Control 2.0</t>
    <phoneticPr fontId="3" type="noConversion"/>
  </si>
  <si>
    <t>HiNAS Navigation DOM</t>
    <phoneticPr fontId="3" type="noConversion"/>
  </si>
  <si>
    <t>HiNAS Navigation</t>
    <phoneticPr fontId="3" type="noConversion"/>
  </si>
  <si>
    <t>HiNAS Control SVM</t>
    <phoneticPr fontId="3" type="noConversion"/>
  </si>
  <si>
    <t>구분</t>
    <phoneticPr fontId="3" type="noConversion"/>
  </si>
  <si>
    <t>모델</t>
    <phoneticPr fontId="3" type="noConversion"/>
  </si>
  <si>
    <t>신조</t>
    <phoneticPr fontId="3" type="noConversion"/>
  </si>
  <si>
    <t>개조</t>
    <phoneticPr fontId="3" type="noConversion"/>
  </si>
  <si>
    <t>HiNAS Navigation</t>
    <phoneticPr fontId="4" type="noConversion"/>
  </si>
  <si>
    <t>HiNAS Navigation DOM</t>
    <phoneticPr fontId="4" type="noConversion"/>
  </si>
  <si>
    <t>HiNAS Navigation DOM/ HiNAS SVM</t>
    <phoneticPr fontId="4" type="noConversion"/>
  </si>
  <si>
    <t>HiNAS Control</t>
    <phoneticPr fontId="3" type="noConversion"/>
  </si>
  <si>
    <t>HiNAS Control/ HiNAS Navigation DOM</t>
    <phoneticPr fontId="4" type="noConversion"/>
  </si>
  <si>
    <t>HiNAS SVM</t>
    <phoneticPr fontId="3" type="noConversion"/>
  </si>
  <si>
    <t>HiNAS SVM/ HiNAS Navigation DOM</t>
    <phoneticPr fontId="3" type="noConversion"/>
  </si>
  <si>
    <t>HiNAS Control/ HiNAS SVM</t>
    <phoneticPr fontId="4" type="noConversion"/>
  </si>
  <si>
    <t>26 (2026년)</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</si>
</sst>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27" x14ac:knownFonts="1">
    <font>
      <sz val="11"/>
      <color theme="1"/>
      <name val="맑은 고딕"/>
      <family val="2"/>
      <scheme val="minor"/>
    </font>
    <font>
      <sz val="11"/>
      <color theme="1"/>
      <name val="맑은 고딕"/>
      <family val="2"/>
      <charset val="129"/>
      <scheme val="minor"/>
    </font>
    <font>
      <sz val="10"/>
      <color theme="1"/>
      <name val="맑은 고딕"/>
      <family val="2"/>
      <charset val="129"/>
    </font>
    <font>
      <sz val="8"/>
      <name val="맑은 고딕"/>
      <family val="3"/>
      <charset val="129"/>
      <scheme val="minor"/>
    </font>
    <font>
      <sz val="8"/>
      <name val="맑은 고딕"/>
      <family val="2"/>
      <charset val="129"/>
      <scheme val="minor"/>
    </font>
    <font>
      <sz val="11"/>
      <color theme="1"/>
      <name val="맑은 고딕"/>
      <family val="3"/>
      <charset val="129"/>
    </font>
    <font>
      <sz val="11"/>
      <color theme="1"/>
      <name val="맑은 고딕"/>
      <family val="3"/>
      <charset val="129"/>
      <scheme val="minor"/>
    </font>
    <font>
      <sz val="11"/>
      <color rgb="FFFF0000"/>
      <name val="맑은 고딕"/>
      <family val="2"/>
      <charset val="129"/>
      <scheme val="minor"/>
    </font>
    <font>
      <b/>
      <sz val="11"/>
      <color theme="1"/>
      <name val="맑은 고딕"/>
      <family val="2"/>
      <charset val="129"/>
      <scheme val="minor"/>
    </font>
    <font>
      <sz val="10"/>
      <name val="맑은 고딕"/>
      <family val="3"/>
      <charset val="129"/>
      <scheme val="minor"/>
    </font>
    <font>
      <b/>
      <sz val="10"/>
      <color rgb="FF000000"/>
      <name val="맑은 고딕"/>
      <family val="3"/>
      <charset val="129"/>
      <scheme val="minor"/>
    </font>
    <font>
      <sz val="10"/>
      <color rgb="FF000000"/>
      <name val="맑은 고딕"/>
      <family val="3"/>
      <charset val="129"/>
      <scheme val="minor"/>
    </font>
    <font>
      <sz val="11"/>
      <name val="돋움"/>
      <family val="3"/>
      <charset val="129"/>
    </font>
    <font>
      <b/>
      <sz val="20"/>
      <name val="맑은 고딕"/>
      <family val="3"/>
      <charset val="129"/>
      <scheme val="major"/>
    </font>
    <font>
      <sz val="8"/>
      <name val="돋움"/>
      <family val="3"/>
      <charset val="129"/>
    </font>
    <font>
      <sz val="11"/>
      <name val="맑은 고딕"/>
      <family val="3"/>
      <charset val="129"/>
      <scheme val="major"/>
    </font>
    <font>
      <b/>
      <sz val="12"/>
      <name val="맑은 고딕"/>
      <family val="3"/>
      <charset val="129"/>
      <scheme val="major"/>
    </font>
    <font>
      <b/>
      <sz val="11"/>
      <name val="맑은 고딕"/>
      <family val="3"/>
      <charset val="129"/>
      <scheme val="major"/>
    </font>
    <font>
      <b/>
      <u/>
      <sz val="11"/>
      <name val="맑은 고딕"/>
      <family val="3"/>
      <charset val="129"/>
      <scheme val="major"/>
    </font>
    <font>
      <sz val="12"/>
      <name val="맑은 고딕"/>
      <family val="3"/>
      <charset val="129"/>
      <scheme val="major"/>
    </font>
    <font>
      <sz val="11"/>
      <name val="맑은 고딕"/>
      <family val="3"/>
      <charset val="129"/>
      <scheme val="minor"/>
    </font>
    <font>
      <sz val="11"/>
      <color rgb="FFFF0000"/>
      <name val="맑은 고딕"/>
      <family val="3"/>
      <charset val="129"/>
      <scheme val="major"/>
    </font>
    <font>
      <b/>
      <sz val="18"/>
      <color rgb="FF000000"/>
      <name val="맑은 고딕"/>
      <family val="3"/>
      <charset val="129"/>
      <scheme val="minor"/>
    </font>
    <font>
      <sz val="11"/>
      <color rgb="FF000000"/>
      <name val="맑은 고딕"/>
      <family val="2"/>
      <charset val="129"/>
      <scheme val="minor"/>
    </font>
    <font>
      <sz val="11"/>
      <color rgb="FF000000"/>
      <name val="맑은 고딕"/>
      <family val="3"/>
      <charset val="129"/>
      <scheme val="major"/>
    </font>
    <font>
      <sz val="11"/>
      <color rgb="FF000000"/>
      <name val="맑은 고딕"/>
      <family val="3"/>
      <charset val="129"/>
      <scheme val="minor"/>
    </font>
    <font>
      <b/>
      <sz val="18"/>
      <color theme="1"/>
      <name val="맑은 고딕"/>
      <family val="3"/>
      <charset val="129"/>
      <scheme val="minor"/>
    </font>
  </fonts>
  <fills count="12">
    <fill>
      <patternFill patternType="none"/>
    </fill>
    <fill>
      <patternFill patternType="gray125"/>
    </fill>
    <fill>
      <patternFill patternType="solid">
        <fgColor theme="0" tint="-0.14999847407452621"/>
        <bgColor indexed="64"/>
      </patternFill>
    </fill>
    <fill>
      <patternFill patternType="solid">
        <fgColor rgb="FFD9D9D9"/>
        <bgColor indexed="64"/>
      </patternFill>
    </fill>
    <fill>
      <patternFill patternType="solid">
        <fgColor rgb="FFDEEAF6"/>
        <bgColor indexed="64"/>
      </patternFill>
    </fill>
    <fill>
      <patternFill patternType="solid">
        <fgColor rgb="FFD9D9D9"/>
        <bgColor rgb="FF000000"/>
      </patternFill>
    </fill>
    <fill>
      <patternFill patternType="solid">
        <fgColor rgb="FFDAF2D0"/>
        <bgColor rgb="FF000000"/>
      </patternFill>
    </fill>
    <fill>
      <patternFill patternType="solid">
        <fgColor rgb="FFBDD7EE"/>
        <bgColor indexed="64"/>
      </patternFill>
    </fill>
    <fill>
      <patternFill patternType="solid">
        <fgColor rgb="FFFCE4D6"/>
        <bgColor indexed="64"/>
      </patternFill>
    </fill>
    <fill>
      <patternFill patternType="solid">
        <fgColor rgb="FFF8CBAD"/>
        <bgColor indexed="64"/>
      </patternFill>
    </fill>
    <fill>
      <patternFill patternType="solid">
        <fgColor theme="1" tint="0.34998626667073579"/>
        <bgColor indexed="64"/>
      </patternFill>
    </fill>
    <fill>
      <patternFill patternType="solid">
        <fgColor theme="7" tint="0.59999389629810485"/>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top style="thin">
        <color indexed="64"/>
      </top>
      <bottom style="thin">
        <color indexed="64"/>
      </bottom>
      <diagonal/>
    </border>
    <border>
      <left/>
      <right/>
      <top/>
      <bottom style="thin">
        <color rgb="FF000000"/>
      </bottom>
      <diagonal/>
    </border>
    <border>
      <left/>
      <right/>
      <top style="thin">
        <color indexed="64"/>
      </top>
      <bottom/>
      <diagonal/>
    </border>
  </borders>
  <cellStyleXfs count="5">
    <xf numFmtId="0" fontId="0" fillId="0" borderId="0"/>
    <xf numFmtId="0" fontId="2" fillId="0" borderId="0">
      <alignment vertical="center"/>
    </xf>
    <xf numFmtId="0" fontId="1" fillId="0" borderId="0">
      <alignment vertical="center"/>
    </xf>
    <xf numFmtId="0" fontId="12" fillId="0" borderId="0">
      <alignment vertical="center"/>
    </xf>
    <xf numFmtId="41" fontId="1" fillId="0" borderId="0" applyFont="0" applyFill="0" applyBorder="0" applyAlignment="0" applyProtection="0">
      <alignment vertical="center"/>
    </xf>
  </cellStyleXfs>
  <cellXfs count="128">
    <xf numFmtId="0" fontId="0" fillId="0" borderId="0" xfId="0"/>
    <xf numFmtId="0" fontId="8" fillId="3" borderId="1" xfId="2" applyFont="1" applyFill="1" applyBorder="1" applyAlignment="1">
      <alignment horizontal="center" vertical="center"/>
    </xf>
    <xf numFmtId="0" fontId="1" fillId="0" borderId="0" xfId="2">
      <alignment vertical="center"/>
    </xf>
    <xf numFmtId="0" fontId="8" fillId="4" borderId="1" xfId="2" applyFont="1" applyFill="1" applyBorder="1" applyAlignment="1">
      <alignment horizontal="center" vertical="center"/>
    </xf>
    <xf numFmtId="0" fontId="1" fillId="0" borderId="1" xfId="2" applyBorder="1">
      <alignment vertical="center"/>
    </xf>
    <xf numFmtId="0" fontId="1" fillId="0" borderId="1" xfId="2" applyBorder="1" applyAlignment="1">
      <alignment horizontal="center" vertical="center"/>
    </xf>
    <xf numFmtId="0" fontId="9" fillId="5" borderId="1" xfId="2" applyFont="1" applyFill="1" applyBorder="1" applyAlignment="1">
      <alignment horizontal="center" vertical="center"/>
    </xf>
    <xf numFmtId="0" fontId="11" fillId="0" borderId="3" xfId="2" applyFont="1" applyBorder="1" applyAlignment="1">
      <alignment horizontal="center" vertical="center"/>
    </xf>
    <xf numFmtId="0" fontId="11" fillId="0" borderId="1" xfId="2" applyFont="1" applyBorder="1" applyAlignment="1">
      <alignment horizontal="center" vertical="center"/>
    </xf>
    <xf numFmtId="0" fontId="11" fillId="5" borderId="8" xfId="2" applyFont="1" applyFill="1" applyBorder="1" applyAlignment="1">
      <alignment horizontal="center" vertical="center"/>
    </xf>
    <xf numFmtId="0" fontId="11" fillId="0" borderId="8" xfId="2" applyFont="1" applyBorder="1" applyAlignment="1">
      <alignment horizontal="center" vertical="center"/>
    </xf>
    <xf numFmtId="0" fontId="11" fillId="5" borderId="8" xfId="2" applyFont="1" applyFill="1" applyBorder="1" applyAlignment="1">
      <alignment horizontal="center"/>
    </xf>
    <xf numFmtId="0" fontId="11" fillId="0" borderId="8" xfId="2" applyFont="1" applyBorder="1" applyAlignment="1">
      <alignment horizontal="center"/>
    </xf>
    <xf numFmtId="0" fontId="8" fillId="7" borderId="1" xfId="2" applyFont="1" applyFill="1" applyBorder="1" applyAlignment="1">
      <alignment horizontal="center" vertical="center"/>
    </xf>
    <xf numFmtId="0" fontId="8" fillId="8" borderId="1" xfId="2" applyFont="1" applyFill="1" applyBorder="1" applyAlignment="1">
      <alignment horizontal="center" vertical="center"/>
    </xf>
    <xf numFmtId="0" fontId="8" fillId="9" borderId="1" xfId="2" applyFont="1" applyFill="1" applyBorder="1" applyAlignment="1">
      <alignment horizontal="center" vertical="center"/>
    </xf>
    <xf numFmtId="0" fontId="15" fillId="0" borderId="0" xfId="3" applyFont="1">
      <alignment vertical="center"/>
    </xf>
    <xf numFmtId="0" fontId="15" fillId="0" borderId="0" xfId="3" applyFont="1" applyAlignment="1">
      <alignment horizontal="center" vertical="center"/>
    </xf>
    <xf numFmtId="0" fontId="16" fillId="0" borderId="0" xfId="3" applyFont="1">
      <alignment vertical="center"/>
    </xf>
    <xf numFmtId="0" fontId="17" fillId="0" borderId="0" xfId="3" applyFont="1">
      <alignment vertical="center"/>
    </xf>
    <xf numFmtId="0" fontId="18" fillId="0" borderId="0" xfId="3" applyFont="1">
      <alignment vertical="center"/>
    </xf>
    <xf numFmtId="0" fontId="19" fillId="0" borderId="0" xfId="3" applyFont="1">
      <alignment vertical="center"/>
    </xf>
    <xf numFmtId="0" fontId="19" fillId="0" borderId="0" xfId="3" applyFont="1" applyAlignment="1">
      <alignment horizontal="center" vertical="center"/>
    </xf>
    <xf numFmtId="0" fontId="15" fillId="2" borderId="1" xfId="3" applyFont="1" applyFill="1" applyBorder="1" applyAlignment="1">
      <alignment horizontal="center" vertical="center"/>
    </xf>
    <xf numFmtId="0" fontId="15" fillId="2" borderId="3" xfId="3" applyFont="1" applyFill="1" applyBorder="1" applyAlignment="1">
      <alignment horizontal="center" vertical="center"/>
    </xf>
    <xf numFmtId="0" fontId="15" fillId="2" borderId="3" xfId="3" applyFont="1" applyFill="1" applyBorder="1" applyAlignment="1">
      <alignment horizontal="center" vertical="center" wrapText="1"/>
    </xf>
    <xf numFmtId="0" fontId="15" fillId="0" borderId="11" xfId="3" applyFont="1" applyBorder="1" applyAlignment="1">
      <alignment horizontal="center" vertical="center"/>
    </xf>
    <xf numFmtId="0" fontId="15" fillId="0" borderId="8" xfId="3" applyFont="1" applyBorder="1" applyAlignment="1">
      <alignment horizontal="center" vertical="center" shrinkToFit="1"/>
    </xf>
    <xf numFmtId="0" fontId="20" fillId="0" borderId="8" xfId="2" applyFont="1" applyBorder="1">
      <alignment vertical="center"/>
    </xf>
    <xf numFmtId="41" fontId="15" fillId="0" borderId="8" xfId="4" applyFont="1" applyFill="1" applyBorder="1" applyAlignment="1">
      <alignment horizontal="center" vertical="center" shrinkToFit="1"/>
    </xf>
    <xf numFmtId="0" fontId="21" fillId="0" borderId="0" xfId="3" applyFont="1">
      <alignment vertical="center"/>
    </xf>
    <xf numFmtId="0" fontId="15" fillId="0" borderId="0" xfId="3" applyFont="1" applyAlignment="1">
      <alignment horizontal="center" vertical="center" shrinkToFit="1"/>
    </xf>
    <xf numFmtId="0" fontId="20" fillId="0" borderId="0" xfId="2" applyFont="1">
      <alignment vertical="center"/>
    </xf>
    <xf numFmtId="41" fontId="15" fillId="0" borderId="0" xfId="4" applyFont="1" applyFill="1" applyBorder="1" applyAlignment="1">
      <alignment horizontal="center" vertical="center" shrinkToFit="1"/>
    </xf>
    <xf numFmtId="0" fontId="15" fillId="0" borderId="0" xfId="3" applyFont="1" applyAlignment="1"/>
    <xf numFmtId="0" fontId="16" fillId="0" borderId="0" xfId="3" applyFont="1" applyAlignment="1"/>
    <xf numFmtId="0" fontId="19" fillId="0" borderId="0" xfId="3" applyFont="1" applyAlignment="1"/>
    <xf numFmtId="0" fontId="15" fillId="0" borderId="1" xfId="3" applyFont="1" applyBorder="1" applyAlignment="1">
      <alignment horizontal="center" vertical="center" shrinkToFit="1"/>
    </xf>
    <xf numFmtId="0" fontId="20" fillId="0" borderId="1" xfId="2" applyFont="1" applyBorder="1">
      <alignment vertical="center"/>
    </xf>
    <xf numFmtId="41" fontId="15" fillId="0" borderId="1" xfId="4" applyFont="1" applyFill="1" applyBorder="1" applyAlignment="1">
      <alignment horizontal="center" vertical="center" shrinkToFit="1"/>
    </xf>
    <xf numFmtId="0" fontId="15" fillId="0" borderId="12" xfId="3" applyFont="1" applyBorder="1" applyAlignment="1">
      <alignment horizontal="center" vertical="center" shrinkToFit="1"/>
    </xf>
    <xf numFmtId="0" fontId="1" fillId="0" borderId="1" xfId="2" applyBorder="1" applyAlignment="1">
      <alignment horizontal="center" vertical="center" shrinkToFit="1"/>
    </xf>
    <xf numFmtId="0" fontId="20" fillId="0" borderId="7" xfId="2" applyFont="1" applyBorder="1">
      <alignment vertical="center"/>
    </xf>
    <xf numFmtId="0" fontId="1" fillId="0" borderId="3" xfId="2" applyBorder="1" applyAlignment="1">
      <alignment horizontal="center" vertical="center" shrinkToFit="1"/>
    </xf>
    <xf numFmtId="0" fontId="20" fillId="0" borderId="13" xfId="2" applyFont="1" applyBorder="1">
      <alignment vertical="center"/>
    </xf>
    <xf numFmtId="41" fontId="15" fillId="0" borderId="12" xfId="4" applyFont="1" applyFill="1" applyBorder="1" applyAlignment="1">
      <alignment horizontal="center" vertical="center" shrinkToFit="1"/>
    </xf>
    <xf numFmtId="0" fontId="20" fillId="0" borderId="1" xfId="2" applyFont="1" applyBorder="1" applyAlignment="1">
      <alignment horizontal="center" vertical="center" shrinkToFit="1"/>
    </xf>
    <xf numFmtId="0" fontId="22" fillId="0" borderId="0" xfId="2" applyFont="1">
      <alignment vertical="center"/>
    </xf>
    <xf numFmtId="0" fontId="23" fillId="0" borderId="0" xfId="2" applyFont="1" applyAlignment="1">
      <alignment horizontal="center" vertical="center"/>
    </xf>
    <xf numFmtId="0" fontId="23" fillId="0" borderId="0" xfId="2" applyFont="1">
      <alignment vertical="center"/>
    </xf>
    <xf numFmtId="0" fontId="23" fillId="0" borderId="0" xfId="2" applyFont="1" applyAlignment="1">
      <alignment horizontal="left" vertical="center"/>
    </xf>
    <xf numFmtId="0" fontId="7" fillId="0" borderId="0" xfId="2" applyFont="1">
      <alignment vertical="center"/>
    </xf>
    <xf numFmtId="0" fontId="24" fillId="2" borderId="1" xfId="3" applyFont="1" applyFill="1" applyBorder="1" applyAlignment="1">
      <alignment horizontal="center" vertical="center"/>
    </xf>
    <xf numFmtId="0" fontId="24" fillId="2" borderId="1" xfId="3" applyFont="1" applyFill="1" applyBorder="1" applyAlignment="1">
      <alignment horizontal="center" vertical="center" wrapText="1"/>
    </xf>
    <xf numFmtId="0" fontId="25" fillId="0" borderId="1" xfId="2" applyFont="1" applyBorder="1" applyAlignment="1">
      <alignment horizontal="center" vertical="center" shrinkToFit="1"/>
    </xf>
    <xf numFmtId="0" fontId="25" fillId="0" borderId="1" xfId="2" applyFont="1" applyBorder="1" applyAlignment="1">
      <alignment vertical="center" shrinkToFit="1"/>
    </xf>
    <xf numFmtId="3" fontId="25" fillId="0" borderId="1" xfId="4" applyNumberFormat="1" applyFont="1" applyFill="1" applyBorder="1" applyAlignment="1">
      <alignment vertical="center" shrinkToFit="1"/>
    </xf>
    <xf numFmtId="0" fontId="25" fillId="0" borderId="1" xfId="4" applyNumberFormat="1" applyFont="1" applyFill="1" applyBorder="1" applyAlignment="1">
      <alignment horizontal="center" vertical="center" shrinkToFit="1"/>
    </xf>
    <xf numFmtId="0" fontId="25" fillId="0" borderId="1" xfId="4" applyNumberFormat="1" applyFont="1" applyBorder="1" applyAlignment="1">
      <alignment horizontal="center" vertical="center" shrinkToFit="1"/>
    </xf>
    <xf numFmtId="0" fontId="25" fillId="0" borderId="1" xfId="2" applyFont="1" applyBorder="1" applyAlignment="1">
      <alignment horizontal="left" vertical="center" shrinkToFit="1"/>
    </xf>
    <xf numFmtId="0" fontId="5" fillId="0" borderId="1" xfId="2" applyFont="1" applyBorder="1" applyAlignment="1">
      <alignment horizontal="center" vertical="center"/>
    </xf>
    <xf numFmtId="0" fontId="6" fillId="0" borderId="0" xfId="2" applyFont="1">
      <alignment vertical="center"/>
    </xf>
    <xf numFmtId="0" fontId="6" fillId="0" borderId="0" xfId="2" applyFont="1" applyAlignment="1">
      <alignment horizontal="right" vertical="center"/>
    </xf>
    <xf numFmtId="3" fontId="25" fillId="0" borderId="1" xfId="4" applyNumberFormat="1" applyFont="1" applyBorder="1" applyAlignment="1">
      <alignment vertical="center" shrinkToFit="1"/>
    </xf>
    <xf numFmtId="0" fontId="25" fillId="0" borderId="1" xfId="4" applyNumberFormat="1" applyFont="1" applyFill="1" applyBorder="1" applyAlignment="1">
      <alignment horizontal="left" vertical="center" shrinkToFit="1"/>
    </xf>
    <xf numFmtId="0" fontId="25" fillId="0" borderId="1" xfId="4" applyNumberFormat="1" applyFont="1" applyBorder="1" applyAlignment="1">
      <alignment horizontal="left" vertical="center" shrinkToFit="1"/>
    </xf>
    <xf numFmtId="0" fontId="6" fillId="0" borderId="0" xfId="2" applyFont="1" applyAlignment="1">
      <alignment horizontal="left" vertical="center"/>
    </xf>
    <xf numFmtId="0" fontId="25" fillId="10" borderId="1" xfId="2" applyFont="1" applyFill="1" applyBorder="1" applyAlignment="1">
      <alignment horizontal="center" vertical="center" shrinkToFit="1"/>
    </xf>
    <xf numFmtId="0" fontId="25" fillId="10" borderId="1" xfId="2" applyFont="1" applyFill="1" applyBorder="1" applyAlignment="1">
      <alignment vertical="center" shrinkToFit="1"/>
    </xf>
    <xf numFmtId="3" fontId="25" fillId="10" borderId="1" xfId="4" applyNumberFormat="1" applyFont="1" applyFill="1" applyBorder="1" applyAlignment="1">
      <alignment vertical="center" shrinkToFit="1"/>
    </xf>
    <xf numFmtId="0" fontId="25" fillId="10" borderId="1" xfId="4" applyNumberFormat="1" applyFont="1" applyFill="1" applyBorder="1" applyAlignment="1">
      <alignment horizontal="center" vertical="center" shrinkToFit="1"/>
    </xf>
    <xf numFmtId="0" fontId="25" fillId="10" borderId="1" xfId="2" applyFont="1" applyFill="1" applyBorder="1" applyAlignment="1">
      <alignment horizontal="left" vertical="center" shrinkToFit="1"/>
    </xf>
    <xf numFmtId="3" fontId="25" fillId="0" borderId="1" xfId="2" applyNumberFormat="1" applyFont="1" applyBorder="1" applyAlignment="1">
      <alignment horizontal="center" vertical="center" shrinkToFit="1"/>
    </xf>
    <xf numFmtId="0" fontId="5" fillId="0" borderId="0" xfId="2" applyFont="1">
      <alignment vertical="center"/>
    </xf>
    <xf numFmtId="3" fontId="25" fillId="0" borderId="5" xfId="4" applyNumberFormat="1" applyFont="1" applyFill="1" applyBorder="1" applyAlignment="1">
      <alignment vertical="center" shrinkToFit="1"/>
    </xf>
    <xf numFmtId="0" fontId="25" fillId="0" borderId="9" xfId="2" applyFont="1" applyBorder="1" applyAlignment="1">
      <alignment horizontal="center" vertical="center" shrinkToFit="1"/>
    </xf>
    <xf numFmtId="0" fontId="25" fillId="0" borderId="2" xfId="2" applyFont="1" applyBorder="1" applyAlignment="1">
      <alignment horizontal="left" vertical="center" shrinkToFit="1"/>
    </xf>
    <xf numFmtId="0" fontId="25" fillId="0" borderId="6" xfId="2" applyFont="1" applyBorder="1" applyAlignment="1">
      <alignment horizontal="center" vertical="center" shrinkToFit="1"/>
    </xf>
    <xf numFmtId="0" fontId="25" fillId="0" borderId="15" xfId="2" applyFont="1" applyBorder="1" applyAlignment="1">
      <alignment horizontal="center" vertical="center"/>
    </xf>
    <xf numFmtId="0" fontId="25" fillId="0" borderId="1" xfId="2" applyFont="1" applyBorder="1" applyAlignment="1">
      <alignment horizontal="center" vertical="center"/>
    </xf>
    <xf numFmtId="0" fontId="25" fillId="0" borderId="0" xfId="2" applyFont="1" applyAlignment="1">
      <alignment horizontal="center" vertical="center"/>
    </xf>
    <xf numFmtId="41" fontId="25" fillId="0" borderId="1" xfId="4" applyFont="1" applyFill="1" applyBorder="1" applyAlignment="1">
      <alignment horizontal="center" vertical="center" shrinkToFit="1"/>
    </xf>
    <xf numFmtId="3" fontId="25" fillId="0" borderId="1" xfId="4" applyNumberFormat="1" applyFont="1" applyFill="1" applyBorder="1" applyAlignment="1">
      <alignment horizontal="center" vertical="center" shrinkToFit="1"/>
    </xf>
    <xf numFmtId="0" fontId="25" fillId="0" borderId="1" xfId="4" applyNumberFormat="1" applyFont="1" applyBorder="1" applyAlignment="1">
      <alignment horizontal="left" vertical="center" wrapText="1" shrinkToFit="1"/>
    </xf>
    <xf numFmtId="0" fontId="25" fillId="11" borderId="1" xfId="2" applyFont="1" applyFill="1" applyBorder="1" applyAlignment="1">
      <alignment horizontal="center" vertical="center" shrinkToFit="1"/>
    </xf>
    <xf numFmtId="0" fontId="25" fillId="11" borderId="1" xfId="2" applyFont="1" applyFill="1" applyBorder="1" applyAlignment="1">
      <alignment horizontal="left" vertical="center" shrinkToFit="1"/>
    </xf>
    <xf numFmtId="3" fontId="25" fillId="11" borderId="1" xfId="4" applyNumberFormat="1" applyFont="1" applyFill="1" applyBorder="1" applyAlignment="1">
      <alignment vertical="center" shrinkToFit="1"/>
    </xf>
    <xf numFmtId="0" fontId="25" fillId="11" borderId="0" xfId="2" applyFont="1" applyFill="1" applyAlignment="1">
      <alignment horizontal="center" vertical="center"/>
    </xf>
    <xf numFmtId="0" fontId="25" fillId="11" borderId="5" xfId="4" applyNumberFormat="1" applyFont="1" applyFill="1" applyBorder="1" applyAlignment="1">
      <alignment horizontal="center" vertical="center" shrinkToFit="1"/>
    </xf>
    <xf numFmtId="0" fontId="25" fillId="11" borderId="5" xfId="4" applyNumberFormat="1" applyFont="1" applyFill="1" applyBorder="1" applyAlignment="1">
      <alignment horizontal="left" vertical="center" shrinkToFit="1"/>
    </xf>
    <xf numFmtId="0" fontId="25" fillId="11" borderId="1" xfId="4" applyNumberFormat="1" applyFont="1" applyFill="1" applyBorder="1" applyAlignment="1">
      <alignment horizontal="left" vertical="center" wrapText="1" shrinkToFit="1"/>
    </xf>
    <xf numFmtId="0" fontId="25" fillId="0" borderId="5" xfId="4" applyNumberFormat="1" applyFont="1" applyFill="1" applyBorder="1" applyAlignment="1">
      <alignment horizontal="center" vertical="center" shrinkToFit="1"/>
    </xf>
    <xf numFmtId="0" fontId="25" fillId="0" borderId="5" xfId="4" applyNumberFormat="1" applyFont="1" applyFill="1" applyBorder="1" applyAlignment="1">
      <alignment horizontal="left" vertical="center" shrinkToFit="1"/>
    </xf>
    <xf numFmtId="0" fontId="25" fillId="0" borderId="1" xfId="4" applyNumberFormat="1" applyFont="1" applyFill="1" applyBorder="1" applyAlignment="1">
      <alignment horizontal="left" vertical="center" wrapText="1" shrinkToFit="1"/>
    </xf>
    <xf numFmtId="0" fontId="25" fillId="10" borderId="1" xfId="4" applyNumberFormat="1" applyFont="1" applyFill="1" applyBorder="1" applyAlignment="1">
      <alignment horizontal="left" vertical="center" shrinkToFit="1"/>
    </xf>
    <xf numFmtId="0" fontId="23" fillId="0" borderId="1" xfId="2" applyFont="1" applyBorder="1" applyAlignment="1">
      <alignment horizontal="center" vertical="center" shrinkToFit="1"/>
    </xf>
    <xf numFmtId="0" fontId="23" fillId="0" borderId="1" xfId="2" applyFont="1" applyBorder="1" applyAlignment="1">
      <alignment vertical="center" shrinkToFit="1"/>
    </xf>
    <xf numFmtId="3" fontId="23" fillId="0" borderId="1" xfId="4" applyNumberFormat="1" applyFont="1" applyBorder="1" applyAlignment="1">
      <alignment vertical="center" shrinkToFit="1"/>
    </xf>
    <xf numFmtId="0" fontId="23" fillId="0" borderId="1" xfId="4" applyNumberFormat="1" applyFont="1" applyBorder="1" applyAlignment="1">
      <alignment horizontal="center" vertical="center" shrinkToFit="1"/>
    </xf>
    <xf numFmtId="0" fontId="23" fillId="0" borderId="1" xfId="2" applyFont="1" applyBorder="1" applyAlignment="1">
      <alignment horizontal="left" vertical="center" shrinkToFit="1"/>
    </xf>
    <xf numFmtId="0" fontId="26" fillId="0" borderId="0" xfId="2" applyFont="1">
      <alignment vertical="center"/>
    </xf>
    <xf numFmtId="0" fontId="15" fillId="2" borderId="1" xfId="3" applyFont="1" applyFill="1" applyBorder="1" applyAlignment="1">
      <alignment horizontal="center" vertical="center" wrapText="1"/>
    </xf>
    <xf numFmtId="0" fontId="1" fillId="0" borderId="3" xfId="2" applyBorder="1" applyAlignment="1">
      <alignment horizontal="center" vertical="center"/>
    </xf>
    <xf numFmtId="0" fontId="1" fillId="0" borderId="4" xfId="2" applyBorder="1">
      <alignment vertical="center"/>
    </xf>
    <xf numFmtId="0" fontId="1" fillId="0" borderId="5" xfId="2" applyBorder="1">
      <alignment vertical="center"/>
    </xf>
    <xf numFmtId="0" fontId="11" fillId="0" borderId="0" xfId="2" applyFont="1">
      <alignment vertical="center"/>
    </xf>
    <xf numFmtId="0" fontId="11" fillId="0" borderId="0" xfId="2" applyFont="1" applyAlignment="1">
      <alignment horizontal="center" vertical="center"/>
    </xf>
    <xf numFmtId="0" fontId="11" fillId="0" borderId="16" xfId="2" applyFont="1" applyBorder="1">
      <alignment vertical="center"/>
    </xf>
    <xf numFmtId="0" fontId="11" fillId="0" borderId="16" xfId="2" applyFont="1" applyBorder="1" applyAlignment="1">
      <alignment horizontal="center" vertical="center"/>
    </xf>
    <xf numFmtId="0" fontId="8" fillId="4" borderId="1" xfId="2" applyFont="1" applyFill="1" applyBorder="1" applyAlignment="1">
      <alignment horizontal="center" vertical="center"/>
    </xf>
    <xf numFmtId="0" fontId="10" fillId="6" borderId="6" xfId="2" applyFont="1" applyFill="1" applyBorder="1" applyAlignment="1">
      <alignment horizontal="center"/>
    </xf>
    <xf numFmtId="0" fontId="10" fillId="6" borderId="7" xfId="2" applyFont="1" applyFill="1" applyBorder="1" applyAlignment="1">
      <alignment horizontal="center"/>
    </xf>
    <xf numFmtId="0" fontId="8" fillId="7" borderId="1" xfId="2" applyFont="1" applyFill="1" applyBorder="1" applyAlignment="1">
      <alignment horizontal="center" vertical="center"/>
    </xf>
    <xf numFmtId="0" fontId="11" fillId="0" borderId="3" xfId="2" applyFont="1" applyBorder="1" applyAlignment="1">
      <alignment horizontal="center" vertical="center"/>
    </xf>
    <xf numFmtId="0" fontId="11" fillId="0" borderId="4" xfId="2" applyFont="1" applyBorder="1" applyAlignment="1">
      <alignment horizontal="center" vertical="center"/>
    </xf>
    <xf numFmtId="0" fontId="8" fillId="8" borderId="1" xfId="2" applyFont="1" applyFill="1" applyBorder="1" applyAlignment="1">
      <alignment horizontal="center" vertical="center"/>
    </xf>
    <xf numFmtId="0" fontId="8" fillId="9" borderId="1" xfId="2" applyFont="1" applyFill="1" applyBorder="1" applyAlignment="1">
      <alignment horizontal="center" vertical="center"/>
    </xf>
    <xf numFmtId="0" fontId="13" fillId="0" borderId="0" xfId="3" applyFont="1" applyAlignment="1">
      <alignment horizontal="center" vertical="center"/>
    </xf>
    <xf numFmtId="0" fontId="15" fillId="2" borderId="9" xfId="3" applyFont="1" applyFill="1" applyBorder="1" applyAlignment="1">
      <alignment horizontal="center" vertical="center"/>
    </xf>
    <xf numFmtId="0" fontId="15" fillId="2" borderId="10" xfId="3" applyFont="1" applyFill="1" applyBorder="1" applyAlignment="1">
      <alignment horizontal="center" vertical="center"/>
    </xf>
    <xf numFmtId="0" fontId="19" fillId="0" borderId="0" xfId="3" applyFont="1" applyAlignment="1">
      <alignment horizontal="right" vertical="center"/>
    </xf>
    <xf numFmtId="0" fontId="13" fillId="0" borderId="0" xfId="3" applyFont="1" applyAlignment="1">
      <alignment horizontal="center"/>
    </xf>
    <xf numFmtId="0" fontId="19" fillId="0" borderId="0" xfId="3" applyFont="1" applyAlignment="1">
      <alignment horizontal="right"/>
    </xf>
    <xf numFmtId="0" fontId="5" fillId="0" borderId="11" xfId="2" applyFont="1" applyBorder="1" applyAlignment="1">
      <alignment horizontal="center" vertical="center"/>
    </xf>
    <xf numFmtId="0" fontId="1" fillId="0" borderId="14" xfId="2" applyBorder="1" applyAlignment="1">
      <alignment horizontal="center" vertical="center"/>
    </xf>
    <xf numFmtId="0" fontId="1" fillId="0" borderId="2" xfId="2" applyBorder="1" applyAlignment="1">
      <alignment horizontal="center" vertical="center"/>
    </xf>
    <xf numFmtId="0" fontId="5" fillId="0" borderId="1" xfId="2" applyFont="1" applyBorder="1" applyAlignment="1">
      <alignment horizontal="center" vertical="center"/>
    </xf>
    <xf numFmtId="0" fontId="1" fillId="0" borderId="1" xfId="2" applyBorder="1" applyAlignment="1">
      <alignment horizontal="center" vertical="center"/>
    </xf>
  </cellXfs>
  <cellStyles count="5">
    <cellStyle name="쉼표 [0] 2" xfId="4" xr:uid="{51FB892A-ACD0-48BD-ACC1-FE51ED85C6ED}"/>
    <cellStyle name="표준" xfId="0" builtinId="0"/>
    <cellStyle name="표준 2" xfId="1" xr:uid="{005B9B29-5451-43EC-8216-469B76FFD00D}"/>
    <cellStyle name="표준 2 2" xfId="3" xr:uid="{73769A41-11D3-4A48-8A2D-132B9A6E4BFC}"/>
    <cellStyle name="표준 3" xfId="2" xr:uid="{3D728D4D-9040-4FAA-9A55-4CBA5DA4F9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44608;&#49457;&#51068;\C\AS_CLAIM\MYCAR\PRDW3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Youngjoon\c\YHS\4-&#51109;&#44592;\96&#51109;&#44592;\95-2000\&#52572;&#51333;B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DOCUME~1\m0010008\LOCALS~1\Temp\notes6030C8\&#51088;&#46041;&#50896;&#44032;&#44228;&#49328;&#49436;\NEW(9904&#51060;&#54980;,FO)\COSTTOOL.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50976;&#49457;&#51068;\C\My%20Documents\4&#49324;&#50629;&#44228;&#54925;\&#52264;&#51060;&#48516;&#49437;\&#51204;&#45380;&#45824;&#48708;\9806BO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50629;&#47924;\2000osj\&#51077;&#52272;\DataRoomIndex(7&#52264;-012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50976;&#49457;&#51068;\C\My%20Documents\3&#44592;&#49696;&#51221;&#48372;\upc\UPC&#44060;&#51221;\bom\TWO\LBS\T100\USER\LBS\T\T-END\TOTAL-T.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autoway.hmc.co.kr/&#51060;&#50857;&#46973;/TOOL/&#49888;PRS&#44228;&#4932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동향표"/>
      <sheetName val="동향"/>
      <sheetName val="PRD"/>
      <sheetName val="PRDC100"/>
      <sheetName val="PRDTTL"/>
      <sheetName val="CAUDIT"/>
      <sheetName val="PDI"/>
      <sheetName val="1.TM"/>
      <sheetName val="2.align"/>
      <sheetName val="3.JUDDER"/>
      <sheetName val="4.M.S"/>
      <sheetName val="5.P.W.R"/>
      <sheetName val="6.F.G"/>
      <sheetName val="7. SCABLE"/>
      <sheetName val="8.DIFF"/>
      <sheetName val="9.A.C"/>
      <sheetName val="10.GEAR"/>
      <sheetName val="11.ISC"/>
      <sheetName val="12.ALT"/>
      <sheetName val="13.O.S"/>
      <sheetName val="14.silencer"/>
      <sheetName val="15.DAMPER"/>
      <sheetName val="16.HUB"/>
      <sheetName val="17.DLOCK"/>
      <sheetName val="18 PSP"/>
      <sheetName val="19.누수"/>
      <sheetName val="20.K.S"/>
      <sheetName val="PDI,CAUDIT"/>
      <sheetName val="PRDW30"/>
      <sheetName val="BUS제원1"/>
      <sheetName val="DOOR"/>
      <sheetName val="5-1차수정"/>
      <sheetName val="Tbom-tot"/>
      <sheetName val="CVT산정"/>
      <sheetName val="전체현황"/>
      <sheetName val="CALENDAR"/>
      <sheetName val="차체"/>
      <sheetName val="생계99ST"/>
      <sheetName val="GB-IC Villingen GG"/>
      <sheetName val="(BS,CF)-BACK"/>
      <sheetName val="진행 DATA (2)"/>
      <sheetName val="프로젝트"/>
      <sheetName val="1.2내수"/>
      <sheetName val="일자별"/>
      <sheetName val="●일일실적"/>
      <sheetName val="차수"/>
      <sheetName val="부문손익"/>
      <sheetName val="#REF"/>
      <sheetName val="재1"/>
      <sheetName val="외주현황.wq1"/>
      <sheetName val="Sheet4"/>
      <sheetName val="내부결재용"/>
      <sheetName val="p2-1"/>
      <sheetName val="협조전"/>
      <sheetName val="부품LIST"/>
      <sheetName val="본부별팀별9911"/>
      <sheetName val="SM-NEW"/>
      <sheetName val="CD-실적"/>
      <sheetName val="수리결과"/>
      <sheetName val="DAT(목표)"/>
      <sheetName val="차체부품 INS REPORT(갑)"/>
      <sheetName val="본문"/>
      <sheetName val="major"/>
      <sheetName val="1_TM"/>
      <sheetName val="2_align"/>
      <sheetName val="3_JUDDER"/>
      <sheetName val="4_M_S"/>
      <sheetName val="5_P_W_R"/>
      <sheetName val="6_F_G"/>
      <sheetName val="7__SCABLE"/>
      <sheetName val="8_DIFF"/>
      <sheetName val="9_A_C"/>
      <sheetName val="10_GEAR"/>
      <sheetName val="11_ISC"/>
      <sheetName val="12_ALT"/>
      <sheetName val="13_O_S"/>
      <sheetName val="14_silencer"/>
      <sheetName val="15_DAMPER"/>
      <sheetName val="16_HUB"/>
      <sheetName val="17_DLOCK"/>
      <sheetName val="18_PSP"/>
      <sheetName val="19_누수"/>
      <sheetName val="20_K_S"/>
      <sheetName val="진행_DATA_(2)"/>
      <sheetName val="GB-IC_Villingen_GG"/>
      <sheetName val="1_2내수"/>
      <sheetName val="BAU"/>
      <sheetName val="1"/>
      <sheetName val="2_2공정능력"/>
      <sheetName val="RDLEVLST"/>
      <sheetName val="검토사항"/>
      <sheetName val="추이도"/>
      <sheetName val="96수출"/>
      <sheetName val="교육계획"/>
      <sheetName val="감사ⓚA"/>
      <sheetName val="폼관조직"/>
      <sheetName val="구동"/>
      <sheetName val="환율"/>
      <sheetName val="INVESTMENT (Hardware)"/>
      <sheetName val="Cost Reduction"/>
      <sheetName val="Auswahl"/>
      <sheetName val="PC%계산"/>
      <sheetName val="카메라"/>
      <sheetName val="기초"/>
      <sheetName val="파일테이블"/>
      <sheetName val="95하U$가격"/>
      <sheetName val="PP%계산"/>
      <sheetName val="TOT"/>
      <sheetName val="MH_생산"/>
      <sheetName val="Main"/>
      <sheetName val="카니발슈마세피아"/>
      <sheetName val="WEIGHT"/>
      <sheetName val="1-Tables"/>
      <sheetName val="표지"/>
      <sheetName val="126.255"/>
      <sheetName val="인원"/>
      <sheetName val="Summary"/>
      <sheetName val="일본출1"/>
      <sheetName val="공정별설비검토"/>
      <sheetName val="INPUT"/>
      <sheetName val="계산정보"/>
      <sheetName val="다목적갑"/>
      <sheetName val="종합(PD,FD,RS)"/>
      <sheetName val="매출계획"/>
      <sheetName val="예산계획"/>
      <sheetName val="매출종합.`09"/>
      <sheetName val="AN43"/>
      <sheetName val="집연95"/>
      <sheetName val="CPK"/>
      <sheetName val="Tiburon"/>
      <sheetName val="HP1AMLIST"/>
      <sheetName val="차종별"/>
      <sheetName val="원본"/>
      <sheetName val="95계획"/>
      <sheetName val="작업제품군"/>
      <sheetName val="차종"/>
      <sheetName val="사용자코드1"/>
      <sheetName val="사용자코드2"/>
      <sheetName val="제품"/>
      <sheetName val="매출성격"/>
      <sheetName val="지역"/>
      <sheetName val="Sheet5"/>
      <sheetName val="Sheet6 (3)"/>
      <sheetName val="확정실적"/>
      <sheetName val="품의양"/>
      <sheetName val="LX3.0 RR"/>
      <sheetName val="적용수량"/>
      <sheetName val="자재소요"/>
      <sheetName val="판매계획"/>
      <sheetName val="가공비(2)"/>
      <sheetName val="Sheet3"/>
      <sheetName val="COND"/>
      <sheetName val="금형표지"/>
      <sheetName val="공평3"/>
      <sheetName val="재료(확정,11월19일)"/>
      <sheetName val="신고서.전"/>
      <sheetName val="Basic assumptions"/>
      <sheetName val="2-1"/>
      <sheetName val="PPS2"/>
      <sheetName val="ML"/>
      <sheetName val="R&amp;D"/>
      <sheetName val="GRACE"/>
      <sheetName val="RD제품개발투자비(매가)"/>
      <sheetName val="RHN"/>
      <sheetName val="材料"/>
      <sheetName val="업무분장"/>
      <sheetName val="F4-F7"/>
      <sheetName val="진도현황"/>
      <sheetName val="생산"/>
      <sheetName val="DWPM"/>
      <sheetName val="SPA원가"/>
      <sheetName val="계산DATA입력"/>
      <sheetName val="인건비"/>
      <sheetName val="뒤차축소"/>
      <sheetName val="점유면적"/>
      <sheetName val="종합BDATA"/>
      <sheetName val="적하보험"/>
      <sheetName val="등속"/>
      <sheetName val="변속"/>
      <sheetName val="액슬"/>
      <sheetName val="프레임"/>
      <sheetName val="LEASE4"/>
      <sheetName val="FUEL FILLER"/>
      <sheetName val="12-30"/>
      <sheetName val="미국"/>
      <sheetName val="2"/>
      <sheetName val="BM_NEW2"/>
      <sheetName val="Sheet1"/>
      <sheetName val="2.대외공문"/>
      <sheetName val="전부인쇄"/>
      <sheetName val="day"/>
      <sheetName val="초도발주서"/>
      <sheetName val="명단"/>
      <sheetName val="현금경비중역"/>
      <sheetName val="5.WIRE적용LIST"/>
      <sheetName val="Macro1"/>
      <sheetName val="순위"/>
      <sheetName val="Macro2"/>
      <sheetName val="3.일반사상"/>
      <sheetName val="단중표"/>
      <sheetName val="0000"/>
      <sheetName val="대외공문"/>
      <sheetName val="상용"/>
      <sheetName val="검구사양서"/>
      <sheetName val="종합"/>
      <sheetName val="3-2.귀책부서별 DT현황"/>
      <sheetName val=" 납촉자"/>
      <sheetName val="업체명"/>
      <sheetName val="Open"/>
      <sheetName val="M1master"/>
      <sheetName val="환율기준"/>
      <sheetName val="통합data"/>
      <sheetName val="시설업체주소록"/>
      <sheetName val="97"/>
      <sheetName val="품의서"/>
      <sheetName val="업종별"/>
      <sheetName val="작성양식"/>
      <sheetName val="EQ"/>
      <sheetName val="신규DEP"/>
      <sheetName val="Sheet2"/>
      <sheetName val="B053 (990701)공정실적PP%계산"/>
      <sheetName val="82150-39000"/>
      <sheetName val="재료율"/>
      <sheetName val="RC"/>
      <sheetName val="참조영역"/>
      <sheetName val="투자-국내2"/>
      <sheetName val="콤보"/>
      <sheetName val="운영실적(세부)"/>
      <sheetName val="5.세운W-A"/>
      <sheetName val="SUB 2월 재검사추이도"/>
      <sheetName val="RHD"/>
      <sheetName val="영업"/>
      <sheetName val="차체부품_INS_REPORT(갑)"/>
      <sheetName val="FUEL_FILLER"/>
      <sheetName val="c.db"/>
      <sheetName val="설비"/>
      <sheetName val="품의예산"/>
      <sheetName val="대일산업"/>
      <sheetName val="0 절삭조건"/>
      <sheetName val="1월"/>
      <sheetName val="그패프"/>
      <sheetName val="2_대외공문"/>
      <sheetName val="5_WIRE적용LIST"/>
      <sheetName val="외주현황_wq1"/>
      <sheetName val="_납촉자"/>
      <sheetName val="3_일반사상"/>
      <sheetName val="월별손익"/>
      <sheetName val="626TD"/>
      <sheetName val="주행"/>
      <sheetName val="FMEAPRO5"/>
      <sheetName val="二.POSITION.XLS"/>
      <sheetName val="96"/>
      <sheetName val="반송불량율"/>
      <sheetName val="1ဲ.ALT"/>
      <sheetName val="1ဳ.O.S"/>
      <sheetName val="15.၄AMPER"/>
      <sheetName val="BACK DATA 08.7.1~"/>
      <sheetName val="E.W"/>
      <sheetName val="P.W"/>
      <sheetName val="가공비data"/>
      <sheetName val="S.W"/>
      <sheetName val="KMCWD"/>
      <sheetName val="OPT손익 내수"/>
      <sheetName val="OPT손익 수출"/>
      <sheetName val="BACK DATA"/>
      <sheetName val="손익"/>
      <sheetName val="10월작업불량"/>
      <sheetName val="정리"/>
      <sheetName val="기초자료"/>
      <sheetName val="VT원단위"/>
      <sheetName val=""/>
      <sheetName val="불량현황"/>
      <sheetName val="KD율"/>
      <sheetName val="64164"/>
      <sheetName val="자산LIST"/>
      <sheetName val="HOUSING"/>
      <sheetName val="TEMP TORQUE"/>
      <sheetName val="MBNBSMTR"/>
      <sheetName val="출력값"/>
      <sheetName val="BL제조표준"/>
      <sheetName val="기초DATA"/>
      <sheetName val="동아합의"/>
      <sheetName val="CASE ASM"/>
      <sheetName val="14.1부"/>
      <sheetName val="생산1-1"/>
      <sheetName val="JT3.0견적-구1"/>
      <sheetName val="TOTAL"/>
      <sheetName val="건축공사"/>
      <sheetName val="SPEC별"/>
      <sheetName val="삼공기계"/>
      <sheetName val="화환비상"/>
      <sheetName val="수입"/>
      <sheetName val="소상 &quot;1&quot;"/>
      <sheetName val="금형품"/>
      <sheetName val="TCA"/>
      <sheetName val="T진도"/>
      <sheetName val="현재"/>
      <sheetName val="공정능력외경"/>
      <sheetName val="선반OPT"/>
      <sheetName val="검사기준서 을 치수"/>
      <sheetName val="초도품보증서"/>
      <sheetName val="검사기준서 갑"/>
      <sheetName val="검사기준서 을"/>
      <sheetName val="검사협정 갑"/>
      <sheetName val="검사성적서 갑"/>
      <sheetName val="검사성적서 을"/>
      <sheetName val="검사성적서 병"/>
      <sheetName val="제출서류"/>
      <sheetName val="결함코드"/>
      <sheetName val="부품코드"/>
      <sheetName val="Nego PV"/>
      <sheetName val="경비공통"/>
      <sheetName val="Pc1%계산"/>
      <sheetName val="engline"/>
      <sheetName val="1.변경범위"/>
      <sheetName val="직원신상"/>
      <sheetName val="HCCE01"/>
      <sheetName val="A-100전제"/>
      <sheetName val="12"/>
      <sheetName val="code"/>
      <sheetName val="C100보고서"/>
      <sheetName val="CIELO발주"/>
      <sheetName val="세부"/>
      <sheetName val="법인+비법인"/>
      <sheetName val="LANOS"/>
      <sheetName val="LEGANZA"/>
      <sheetName val="NUBIRA"/>
      <sheetName val="팀별 합계"/>
      <sheetName val="BACK_DATA_08_7_1~"/>
      <sheetName val="E_W"/>
      <sheetName val="P_W"/>
      <sheetName val="S_W"/>
      <sheetName val="1ဲ_ALT"/>
      <sheetName val="1ဳ_O_S"/>
      <sheetName val="15_၄AMPER"/>
      <sheetName val="OPT손익_내수"/>
      <sheetName val="OPT손익_수출"/>
      <sheetName val="二_POSITION_XLS"/>
      <sheetName val="BACK_DATA"/>
      <sheetName val="검기갑지"/>
      <sheetName val="설비능력및 종합공정능력산출시 사용"/>
      <sheetName val="LAMBDA 자작"/>
      <sheetName val="RESN_SUM"/>
      <sheetName val="Actions"/>
      <sheetName val="050218"/>
      <sheetName val="1_TM1"/>
      <sheetName val="2_align1"/>
      <sheetName val="3_JUDDER1"/>
      <sheetName val="4_M_S1"/>
      <sheetName val="5_P_W_R1"/>
      <sheetName val="6_F_G1"/>
      <sheetName val="7__SCABLE1"/>
      <sheetName val="8_DIFF1"/>
      <sheetName val="9_A_C1"/>
      <sheetName val="10_GEAR1"/>
      <sheetName val="11_ISC1"/>
      <sheetName val="12_ALT1"/>
      <sheetName val="13_O_S1"/>
      <sheetName val="14_silencer1"/>
      <sheetName val="15_DAMPER1"/>
      <sheetName val="16_HUB1"/>
      <sheetName val="17_DLOCK1"/>
      <sheetName val="18_PSP1"/>
      <sheetName val="19_누수1"/>
      <sheetName val="20_K_S1"/>
      <sheetName val="GB-IC_Villingen_GG1"/>
      <sheetName val="1_2내수1"/>
      <sheetName val="진행_DATA_(2)1"/>
      <sheetName val="매출종합_`09"/>
      <sheetName val="Cost_Reduction"/>
      <sheetName val="Sheet6_(3)"/>
      <sheetName val=" PPAP 작성중 .xlsx"/>
      <sheetName val="M96현황-동아"/>
      <sheetName val="PILOT품"/>
      <sheetName val="금형품의서"/>
      <sheetName val="옹벽1"/>
      <sheetName val="영업.일1"/>
      <sheetName val="감가상각"/>
      <sheetName val="조서목차"/>
      <sheetName val="월매출"/>
      <sheetName val="가격품의"/>
      <sheetName val="RELAY FAX양식"/>
      <sheetName val="PFMEA.XLS"/>
      <sheetName val="상세 견적서 (HMC)"/>
      <sheetName val="CLM-MP"/>
      <sheetName val="광주"/>
      <sheetName val="MOTO"/>
      <sheetName val="발주"/>
      <sheetName val="LL"/>
      <sheetName val="품-(주)코①"/>
      <sheetName val="Config"/>
      <sheetName val="목록"/>
      <sheetName val="#93"/>
      <sheetName val="Dashboard"/>
      <sheetName val="2008 г"/>
      <sheetName val="CF"/>
      <sheetName val="총"/>
      <sheetName val="윤영환"/>
      <sheetName val="2.중요한회계정책"/>
      <sheetName val="9.관계기업투자"/>
      <sheetName val="42.리스"/>
      <sheetName val="25.법인세"/>
      <sheetName val="Cpk3"/>
      <sheetName val="ﾀｰﾋﾞﾝﾃﾞｰﾀ"/>
      <sheetName val="COKBOM"/>
      <sheetName val="유효성"/>
      <sheetName val="File_Table"/>
      <sheetName val="근태일지"/>
      <sheetName val="연습"/>
      <sheetName val="업체별매출실적"/>
      <sheetName val="기본정보"/>
      <sheetName val="초기화면"/>
      <sheetName val="제품정보"/>
      <sheetName val="시산표"/>
      <sheetName val="DBL LPG시험"/>
      <sheetName val="ISRDATA"/>
      <sheetName val="문서처리전"/>
      <sheetName val="출금계획"/>
      <sheetName val="기안"/>
      <sheetName val="목표대비실적(R)"/>
      <sheetName val="125PIECE"/>
      <sheetName val="069"/>
      <sheetName val="UNPLAN"/>
      <sheetName val="RETURN"/>
      <sheetName val="조직도"/>
      <sheetName val="기본전제"/>
      <sheetName val="STAFF"/>
      <sheetName val="인사재경"/>
      <sheetName val="전산"/>
      <sheetName val="국내 "/>
      <sheetName val="해외"/>
      <sheetName val="생기종관"/>
      <sheetName val="울산지원"/>
      <sheetName val="엔진기어"/>
      <sheetName val="소재"/>
      <sheetName val="부품공작기계"/>
      <sheetName val="자재"/>
      <sheetName val="중앙"/>
      <sheetName val="승용12CTR"/>
      <sheetName val="상용CTR디자인"/>
      <sheetName val="1,2,3공장"/>
      <sheetName val="4,5공장 "/>
      <sheetName val="시트 "/>
      <sheetName val="품질CR"/>
      <sheetName val="전주"/>
      <sheetName val="명칭변경"/>
      <sheetName val="EurotoolsXRates"/>
      <sheetName val="거래처"/>
      <sheetName val="을"/>
      <sheetName val="6 N.m CCW 전류"/>
      <sheetName val="도표"/>
      <sheetName val="3사분기"/>
      <sheetName val="Proj List 00E"/>
      <sheetName val="대구경북"/>
      <sheetName val="월별손익현황"/>
      <sheetName val="효율계획(당월)"/>
      <sheetName val="서울서부"/>
      <sheetName val="부산경남"/>
      <sheetName val="서울동부"/>
      <sheetName val="인천경기"/>
      <sheetName val="중부본부"/>
      <sheetName val="호남본부"/>
      <sheetName val="매출DATA"/>
      <sheetName val="TA10"/>
      <sheetName val="Bosch ADVP&amp;R"/>
      <sheetName val="STEEL95"/>
      <sheetName val="분기별데이타"/>
      <sheetName val="월별데이타"/>
      <sheetName val="YOEMAGUM"/>
      <sheetName val="데이타"/>
      <sheetName val="경일재고"/>
      <sheetName val="소요량"/>
      <sheetName val="기아자동차D2"/>
      <sheetName val="기아버스소요량"/>
      <sheetName val="재고관리"/>
      <sheetName val="중공업실적"/>
      <sheetName val="안전재고관리"/>
      <sheetName val="단가정보"/>
      <sheetName val="택배LIST"/>
      <sheetName val="청원요구량"/>
      <sheetName val="현대중공업"/>
      <sheetName val="화승출고집계"/>
      <sheetName val="화승AS실적"/>
      <sheetName val="현대자동차D2"/>
      <sheetName val="CKD기준정보"/>
      <sheetName val="세명POP"/>
      <sheetName val="navigation"/>
      <sheetName val="translate"/>
      <sheetName val="BTPQ"/>
      <sheetName val="INVESTMENT_(Hardware)"/>
      <sheetName val="LX3_0_RR"/>
      <sheetName val="1-C,D"/>
      <sheetName val="HS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F)-BACK"/>
      <sheetName val="영업"/>
      <sheetName val="인도"/>
      <sheetName val="생산(공장별)"/>
      <sheetName val="인도KD"/>
      <sheetName val="수출(지역별)"/>
      <sheetName val="f-재고계획"/>
      <sheetName val="f-생산(내수출)"/>
      <sheetName val="KD공급율"/>
      <sheetName val="주요전제"/>
      <sheetName val="공개검토"/>
      <sheetName val="보고BS"/>
      <sheetName val="보고CF"/>
      <sheetName val="표지"/>
      <sheetName val="생산량"/>
      <sheetName val="98.1,2,3월지급실적(반영)"/>
      <sheetName val="투자비(1.4 분기 부평공장) "/>
      <sheetName val="98분야 투자반영(부평공장)"/>
      <sheetName val="98분야 투자미반영(부평공장)"/>
      <sheetName val="종합"/>
      <sheetName val="생산성"/>
      <sheetName val="생산성미달"/>
      <sheetName val="품질종합"/>
      <sheetName val="DPTV분야별"/>
      <sheetName val="DIQS분야별"/>
      <sheetName val="WARRANTY분야별"/>
      <sheetName val="시장미달"/>
      <sheetName val="부품미달"/>
      <sheetName val="DIQS5월실적"/>
      <sheetName val="VENT OIL LEAK"/>
      <sheetName val="OIL LEAK"/>
      <sheetName val="종합(1쪽)"/>
      <sheetName val="차이분석(2쪽)"/>
      <sheetName val="TREND(3쪽)"/>
      <sheetName val="종합(1쪽) (2)"/>
      <sheetName val="조정목표비교"/>
      <sheetName val="******"/>
      <sheetName val="가정"/>
      <sheetName val="DA"/>
      <sheetName val="BS SUM"/>
      <sheetName val="BS99"/>
      <sheetName val="이자"/>
      <sheetName val="Sale"/>
      <sheetName val="IS"/>
      <sheetName val="고정자산"/>
      <sheetName val="가정1"/>
      <sheetName val="판관비"/>
      <sheetName val="Cash"/>
      <sheetName val="매출"/>
      <sheetName val="2000매출"/>
      <sheetName val="2000"/>
      <sheetName val="BASIC ASSUM."/>
      <sheetName val="MGMT ANALYSIS"/>
      <sheetName val="SUMMARY"/>
      <sheetName val="1-1.P&amp;L"/>
      <sheetName val="1-2.SALES&amp;STOCK"/>
      <sheetName val="1-2.USED"/>
      <sheetName val="1-3.SALES &amp; GROSS PROFIT"/>
      <sheetName val="1-4.2000SALES &amp; PROFIT"/>
      <sheetName val="1-5.PURCHASE"/>
      <sheetName val="1-6.EXPENSES"/>
      <sheetName val="1-7.MARKETING"/>
      <sheetName val="1-8.NON.O.EXP."/>
      <sheetName val="1-9.EXTRA.EXP."/>
      <sheetName val="-2(2-1)B-SHEET"/>
      <sheetName val="2-2.INVEST."/>
      <sheetName val="-3.CASH FLOW"/>
      <sheetName val="INDEX"/>
      <sheetName val="PRICE STRUCTURE REQUESTED"/>
      <sheetName val="-1.Price Structure SUGGESTED"/>
      <sheetName val="-2.'00 Order PLAN"/>
      <sheetName val="-3.'00 SALES PLAN"/>
      <sheetName val="-4.MarketShare"/>
      <sheetName val="-5.Incentive"/>
      <sheetName val="-6.LOGISTICS"/>
      <sheetName val="-7.CompanyCar"/>
      <sheetName val="Tbom-tot"/>
      <sheetName val="최종BS"/>
      <sheetName val="A9AEDN01"/>
      <sheetName val="T진도"/>
      <sheetName val="년도별"/>
      <sheetName val="GM Master"/>
      <sheetName val="시설투자"/>
      <sheetName val="CF"/>
      <sheetName val="손익계산서"/>
      <sheetName val="so-021"/>
      <sheetName val="WEIGHT"/>
      <sheetName val="완성차 미수금"/>
      <sheetName val="ORIGIN"/>
      <sheetName val="5-1차수정"/>
      <sheetName val="1월"/>
      <sheetName val="2월"/>
      <sheetName val="3월"/>
      <sheetName val="4월"/>
      <sheetName val="5월"/>
      <sheetName val="6월"/>
      <sheetName val="7월"/>
      <sheetName val="8월"/>
      <sheetName val="9월"/>
      <sheetName val="10월"/>
      <sheetName val="11월"/>
      <sheetName val="12월"/>
      <sheetName val="total"/>
      <sheetName val="Sheet1"/>
      <sheetName val="Sheet2"/>
      <sheetName val="Sheet3"/>
      <sheetName val="도시가스"/>
      <sheetName val="수선유지비내역"/>
      <sheetName val="투자내역"/>
      <sheetName val="진행 DATA (2)"/>
      <sheetName val="CAUDIT"/>
      <sheetName val="차체"/>
      <sheetName val="Calendars"/>
      <sheetName val="월간보고"/>
      <sheetName val="목적별"/>
      <sheetName val="MH_생산"/>
      <sheetName val="#REF"/>
      <sheetName val="Z41,Z42 이외total"/>
      <sheetName val="COVER"/>
      <sheetName val="CFLOW"/>
      <sheetName val="부품LIST"/>
      <sheetName val="TCA"/>
    </sheetNames>
    <definedNames>
      <definedName name="btnReturn_click"/>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TOOL"/>
      <sheetName val="CAUDIT"/>
      <sheetName val="Tbom-tot"/>
      <sheetName val="(BS,CF)-BACK"/>
    </sheetNames>
    <sheetDataSet>
      <sheetData sheetId="0" refreshError="1"/>
      <sheetData sheetId="1" refreshError="1"/>
      <sheetData sheetId="2" refreshError="1"/>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3"/>
      <sheetName val="내수"/>
      <sheetName val="수출"/>
      <sheetName val="내수대표"/>
      <sheetName val="9806계"/>
      <sheetName val="9906계"/>
      <sheetName val="9801"/>
      <sheetName val="9801 (2)"/>
      <sheetName val="#REF"/>
      <sheetName val="LEGANZA(3)"/>
      <sheetName val="자재단가"/>
      <sheetName val="산출기초"/>
      <sheetName val="5-1차수정"/>
      <sheetName val="대외공문"/>
      <sheetName val="CAUDIT"/>
      <sheetName val="CF"/>
      <sheetName val="손익계산서"/>
      <sheetName val="제조부문배부"/>
      <sheetName val="LD100 (2)"/>
      <sheetName val="2.대외공문"/>
      <sheetName val="6.18"/>
      <sheetName val="MH_생산"/>
      <sheetName val="Sheet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종합"/>
      <sheetName val="중복-삭제"/>
      <sheetName val="5-1차수정"/>
      <sheetName val="DataRoomIndex(7차-0124)"/>
      <sheetName val="CAUDIT"/>
      <sheetName val="Tbom-tot"/>
      <sheetName val="(BS,CF)-BACK"/>
    </sheetNames>
    <sheetDataSet>
      <sheetData sheetId="0" refreshError="1"/>
      <sheetData sheetId="1" refreshError="1"/>
      <sheetData sheetId="2"/>
      <sheetData sheetId="3" refreshError="1"/>
      <sheetData sheetId="4" refreshError="1"/>
      <sheetData sheetId="5" refreshError="1"/>
      <sheetData sheetId="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om-tot"/>
      <sheetName val="MH_생산"/>
      <sheetName val="CAUDIT"/>
      <sheetName val="TOTAL-T"/>
      <sheetName val="CF"/>
      <sheetName val="손익계산서"/>
      <sheetName val="T진도"/>
      <sheetName val="04.New Sun"/>
      <sheetName val="5-1차수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SS DATA"/>
      <sheetName val="CAUDIT"/>
      <sheetName val="MH_생산"/>
      <sheetName val="5-1차수정"/>
      <sheetName val="신PRS계산"/>
      <sheetName val="PressCost"/>
      <sheetName val="Tbom-tot"/>
      <sheetName val="(BS,CF)-BACK"/>
    </sheetNames>
    <sheetDataSet>
      <sheetData sheetId="0"/>
      <sheetData sheetId="1" refreshError="1"/>
      <sheetData sheetId="2" refreshError="1"/>
      <sheetData sheetId="3" refreshError="1"/>
      <sheetData sheetId="4" refreshError="1"/>
      <sheetData sheetId="5"/>
      <sheetData sheetId="6" refreshError="1"/>
      <sheetData sheetId="7" refreshError="1"/>
    </sheetDataSet>
  </externalBook>
</externalLink>
</file>

<file path=xl/persons/person.xml><?xml version="1.0" encoding="utf-8"?>
<personList xmlns="http://schemas.microsoft.com/office/spreadsheetml/2018/threadedcomments" xmlns:x="http://schemas.openxmlformats.org/spreadsheetml/2006/main">
  <person displayName="chanmi kang" id="{02AC6766-1F35-4E28-A4DD-6EF221FEDF26}" userId="S::chanmi.kang@avikus.ai::3c8d3f6c-19a8-4dfd-9ff1-a6768696c499" providerId="AD"/>
</personList>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4" dT="2023-12-12T23:43:55.38" personId="{02AC6766-1F35-4E28-A4DD-6EF221FEDF26}" id="{606D8101-B81A-4666-9B48-62AFD84E4215}">
    <text>완제품리스트 시트 참조</text>
  </threadedComment>
</ThreadedComments>
</file>

<file path=xl/threadedComments/threadedComment2.xml><?xml version="1.0" encoding="utf-8"?>
<ThreadedComments xmlns="http://schemas.microsoft.com/office/spreadsheetml/2018/threadedcomments" xmlns:x="http://schemas.openxmlformats.org/spreadsheetml/2006/main">
  <threadedComment ref="G3" dT="2023-12-12T23:44:32.13" personId="{02AC6766-1F35-4E28-A4DD-6EF221FEDF26}" id="{87835B2A-5099-4696-A4BB-00AB9A714BD6}">
    <text>원산지확인서(증명서)가 있다면 해당 국가를, 
없다면 "미상"으로 기재</text>
  </threadedComment>
  <threadedComment ref="L3" dT="2023-12-12T23:44:56.95" personId="{02AC6766-1F35-4E28-A4DD-6EF221FEDF26}" id="{AED8B72B-877B-44B5-B05B-99A129005DBA}">
    <text>거래명세서,
수입신고필증,
원산지확인서</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 Id="rId4" Type="http://schemas.microsoft.com/office/2017/10/relationships/threadedComment" Target="../threadedComments/threadedComment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BE809-6566-4FBE-8B26-82B33569EF20}">
  <dimension ref="A1:Q133"/>
  <sheetViews>
    <sheetView tabSelected="1" workbookViewId="0">
      <pane ySplit="1" topLeftCell="A2" activePane="bottomLeft" state="frozen"/>
      <selection activeCell="J20" sqref="J20:O20"/>
      <selection pane="bottomLeft" activeCell="M8" sqref="M8"/>
    </sheetView>
  </sheetViews>
  <sheetFormatPr defaultRowHeight="17" x14ac:dyDescent="0.45"/>
  <cols>
    <col min="1" max="1" width="7.5" style="2" customWidth="1"/>
    <col min="2" max="2" width="24.5" style="2" bestFit="1" customWidth="1"/>
    <col min="3" max="3" width="12.5" style="2" customWidth="1"/>
    <col min="4" max="4" width="25" style="2" customWidth="1"/>
    <col min="5" max="5" width="33.33203125" style="2" customWidth="1"/>
    <col min="6" max="6" width="8.33203125" style="2" customWidth="1"/>
    <col min="7" max="7" width="18.33203125" style="2" customWidth="1"/>
    <col min="8" max="8" width="40.83203125" style="2" customWidth="1"/>
    <col min="9" max="10" width="8.6640625" style="2"/>
    <col min="11" max="11" width="9.58203125" style="2" bestFit="1" customWidth="1"/>
    <col min="12" max="12" width="10.25" style="2" bestFit="1" customWidth="1"/>
    <col min="13" max="13" width="10.25" style="2" customWidth="1"/>
    <col min="14" max="14" width="41.33203125" style="2" bestFit="1" customWidth="1"/>
    <col min="15" max="15" width="8.6640625" style="2"/>
    <col min="16" max="16" width="12.33203125" style="2" bestFit="1" customWidth="1"/>
    <col min="17" max="17" width="30.33203125" style="2" bestFit="1" customWidth="1"/>
    <col min="18" max="16384" width="8.6640625" style="2"/>
  </cols>
  <sheetData>
    <row r="1" spans="1:17" x14ac:dyDescent="0.45">
      <c r="A1" s="1" t="s">
        <v>0</v>
      </c>
      <c r="B1" s="1" t="s">
        <v>1</v>
      </c>
      <c r="C1" s="1" t="s">
        <v>2</v>
      </c>
      <c r="D1" s="1" t="s">
        <v>3</v>
      </c>
      <c r="E1" s="1" t="s">
        <v>4</v>
      </c>
      <c r="F1" s="1" t="s">
        <v>5</v>
      </c>
      <c r="G1" s="1" t="s">
        <v>6</v>
      </c>
      <c r="H1" s="1" t="s">
        <v>7</v>
      </c>
    </row>
    <row r="2" spans="1:17" x14ac:dyDescent="0.45">
      <c r="A2" s="109" t="s">
        <v>8</v>
      </c>
      <c r="B2" s="109" t="s">
        <v>561</v>
      </c>
      <c r="C2" s="3" t="str">
        <f>'BOM_(신조) HiNAS Nav'!B11</f>
        <v>SM0001</v>
      </c>
      <c r="D2" s="4" t="str">
        <f>'BOM_(신조) HiNAS Nav'!C11</f>
        <v>Monitor</v>
      </c>
      <c r="E2" s="4" t="str">
        <f>'BOM_(신조) HiNAS Nav'!E11</f>
        <v>27인치 모니터</v>
      </c>
      <c r="F2" s="5">
        <f>'BOM_(신조) HiNAS Nav'!I11</f>
        <v>1</v>
      </c>
      <c r="G2" s="4" t="str">
        <f>'BOM_(신조) HiNAS Nav'!M11</f>
        <v>MRC/테트라다인</v>
      </c>
      <c r="H2" s="4" t="str">
        <f>'BOM_(신조) HiNAS Nav'!O11</f>
        <v>RCU, RCU cable, RS485 cable, bracket 포함</v>
      </c>
      <c r="K2" s="6" t="s">
        <v>9</v>
      </c>
      <c r="L2" s="6" t="s">
        <v>10</v>
      </c>
      <c r="M2" s="6" t="s">
        <v>563</v>
      </c>
      <c r="N2" s="6" t="s">
        <v>564</v>
      </c>
      <c r="P2" s="110" t="s">
        <v>11</v>
      </c>
      <c r="Q2" s="111"/>
    </row>
    <row r="3" spans="1:17" x14ac:dyDescent="0.45">
      <c r="A3" s="109"/>
      <c r="B3" s="109"/>
      <c r="C3" s="3" t="str">
        <f>'BOM_(신조) HiNAS Nav'!B12</f>
        <v>SS0001</v>
      </c>
      <c r="D3" s="4" t="str">
        <f>'BOM_(신조) HiNAS Nav'!C12</f>
        <v>Server</v>
      </c>
      <c r="E3" s="4" t="str">
        <f>'BOM_(신조) HiNAS Nav'!E12</f>
        <v>메인 서버</v>
      </c>
      <c r="F3" s="5">
        <f>'BOM_(신조) HiNAS Nav'!I12</f>
        <v>1</v>
      </c>
      <c r="G3" s="4" t="str">
        <f>'BOM_(신조) HiNAS Nav'!M12</f>
        <v>테트라다인</v>
      </c>
      <c r="H3" s="4" t="str">
        <f>'BOM_(신조) HiNAS Nav'!O12</f>
        <v xml:space="preserve"> - </v>
      </c>
      <c r="K3" s="113" t="s">
        <v>12</v>
      </c>
      <c r="L3" s="8" t="s">
        <v>13</v>
      </c>
      <c r="M3" s="8" t="s">
        <v>565</v>
      </c>
      <c r="N3" s="8" t="s">
        <v>567</v>
      </c>
      <c r="P3" s="9" t="s">
        <v>14</v>
      </c>
      <c r="Q3" s="10" t="s">
        <v>15</v>
      </c>
    </row>
    <row r="4" spans="1:17" x14ac:dyDescent="0.45">
      <c r="A4" s="109"/>
      <c r="B4" s="109"/>
      <c r="C4" s="3" t="str">
        <f>'BOM_(신조) HiNAS Nav'!B13</f>
        <v>SZ0013</v>
      </c>
      <c r="D4" s="4" t="str">
        <f>'BOM_(신조) HiNAS Nav'!C13</f>
        <v>Trackball Mouse</v>
      </c>
      <c r="E4" s="4" t="str">
        <f>'BOM_(신조) HiNAS Nav'!E13</f>
        <v>마우스</v>
      </c>
      <c r="F4" s="5">
        <f>'BOM_(신조) HiNAS Nav'!I13</f>
        <v>2</v>
      </c>
      <c r="G4" s="4" t="str">
        <f>'BOM_(신조) HiNAS Nav'!M13</f>
        <v>쿠팡</v>
      </c>
      <c r="H4" s="4" t="str">
        <f>'BOM_(신조) HiNAS Nav'!O13</f>
        <v xml:space="preserve"> - </v>
      </c>
      <c r="K4" s="114"/>
      <c r="L4" s="8" t="s">
        <v>16</v>
      </c>
      <c r="M4" s="8" t="s">
        <v>565</v>
      </c>
      <c r="N4" s="8" t="s">
        <v>568</v>
      </c>
      <c r="P4" s="9" t="s">
        <v>17</v>
      </c>
      <c r="Q4" s="10" t="s">
        <v>575</v>
      </c>
    </row>
    <row r="5" spans="1:17" x14ac:dyDescent="0.45">
      <c r="A5" s="109"/>
      <c r="B5" s="109"/>
      <c r="C5" s="3" t="str">
        <f>'BOM_(신조) HiNAS Nav'!B14</f>
        <v>SC0004</v>
      </c>
      <c r="D5" s="4" t="str">
        <f>'BOM_(신조) HiNAS Nav'!C14</f>
        <v>NAS camera housing</v>
      </c>
      <c r="E5" s="4" t="str">
        <f>'BOM_(신조) HiNAS Nav'!E14</f>
        <v>하우징</v>
      </c>
      <c r="F5" s="5">
        <f>'BOM_(신조) HiNAS Nav'!I14</f>
        <v>1</v>
      </c>
      <c r="G5" s="4" t="str">
        <f>'BOM_(신조) HiNAS Nav'!M14</f>
        <v>MRC</v>
      </c>
      <c r="H5" s="4" t="str">
        <f>'BOM_(신조) HiNAS Nav'!O14</f>
        <v xml:space="preserve"> - </v>
      </c>
      <c r="K5" s="114"/>
      <c r="L5" s="8" t="s">
        <v>18</v>
      </c>
      <c r="M5" s="8" t="s">
        <v>565</v>
      </c>
      <c r="N5" s="8" t="s">
        <v>569</v>
      </c>
      <c r="P5" s="9" t="s">
        <v>19</v>
      </c>
      <c r="Q5" s="10" t="s">
        <v>20</v>
      </c>
    </row>
    <row r="6" spans="1:17" x14ac:dyDescent="0.45">
      <c r="A6" s="109"/>
      <c r="B6" s="109"/>
      <c r="C6" s="3" t="str">
        <f>'BOM_(신조) HiNAS Nav'!B15</f>
        <v>SC0010</v>
      </c>
      <c r="D6" s="4" t="str">
        <f>'BOM_(신조) HiNAS Nav'!C15</f>
        <v>EO Camera</v>
      </c>
      <c r="E6" s="4" t="str">
        <f>'BOM_(신조) HiNAS Nav'!E15</f>
        <v>광학 카메라(4K)</v>
      </c>
      <c r="F6" s="5">
        <f>'BOM_(신조) HiNAS Nav'!I15</f>
        <v>3</v>
      </c>
      <c r="G6" s="4" t="str">
        <f>'BOM_(신조) HiNAS Nav'!M15</f>
        <v>사이더스/e-con</v>
      </c>
      <c r="H6" s="4" t="str">
        <f>'BOM_(신조) HiNAS Nav'!O15</f>
        <v>w. GMSL cable</v>
      </c>
      <c r="K6" s="114"/>
      <c r="L6" s="8" t="s">
        <v>21</v>
      </c>
      <c r="M6" s="8" t="s">
        <v>565</v>
      </c>
      <c r="N6" s="8" t="s">
        <v>570</v>
      </c>
      <c r="P6" s="9" t="s">
        <v>22</v>
      </c>
      <c r="Q6" s="10" t="s">
        <v>23</v>
      </c>
    </row>
    <row r="7" spans="1:17" x14ac:dyDescent="0.45">
      <c r="A7" s="109"/>
      <c r="B7" s="109"/>
      <c r="C7" s="3" t="str">
        <f>'BOM_(신조) HiNAS Nav'!B16</f>
        <v>SC0002</v>
      </c>
      <c r="D7" s="4" t="str">
        <f>'BOM_(신조) HiNAS Nav'!C16</f>
        <v>IR camera</v>
      </c>
      <c r="E7" s="4" t="str">
        <f>'BOM_(신조) HiNAS Nav'!E16</f>
        <v>열화상 카메라</v>
      </c>
      <c r="F7" s="5">
        <f>'BOM_(신조) HiNAS Nav'!I16</f>
        <v>3</v>
      </c>
      <c r="G7" s="4" t="str">
        <f>'BOM_(신조) HiNAS Nav'!M16</f>
        <v>IRKEN/FLIR</v>
      </c>
      <c r="H7" s="4" t="str">
        <f>'BOM_(신조) HiNAS Nav'!O16</f>
        <v>w. VPC KIT</v>
      </c>
      <c r="K7" s="114"/>
      <c r="L7" s="8" t="s">
        <v>24</v>
      </c>
      <c r="M7" s="8" t="s">
        <v>565</v>
      </c>
      <c r="N7" s="8" t="s">
        <v>571</v>
      </c>
      <c r="P7" s="11"/>
      <c r="Q7" s="12"/>
    </row>
    <row r="8" spans="1:17" x14ac:dyDescent="0.45">
      <c r="A8" s="109"/>
      <c r="B8" s="109"/>
      <c r="C8" s="3" t="str">
        <f>'BOM_(신조) HiNAS Nav'!B17</f>
        <v>SC0003</v>
      </c>
      <c r="D8" s="4" t="str">
        <f>'BOM_(신조) HiNAS Nav'!C17</f>
        <v>IR camera window</v>
      </c>
      <c r="E8" s="4" t="str">
        <f>'BOM_(신조) HiNAS Nav'!E17</f>
        <v>열화상 카메라 윈도우</v>
      </c>
      <c r="F8" s="5">
        <f>'BOM_(신조) HiNAS Nav'!I17</f>
        <v>3</v>
      </c>
      <c r="G8" s="4" t="str">
        <f>'BOM_(신조) HiNAS Nav'!M17</f>
        <v>센서캠</v>
      </c>
      <c r="H8" s="4" t="str">
        <f>'BOM_(신조) HiNAS Nav'!O17</f>
        <v>1세대 용 (직경 42mm)</v>
      </c>
      <c r="K8" s="114"/>
      <c r="L8" s="8" t="s">
        <v>25</v>
      </c>
      <c r="M8" s="8" t="s">
        <v>565</v>
      </c>
      <c r="N8" s="8" t="s">
        <v>559</v>
      </c>
      <c r="P8" s="11"/>
      <c r="Q8" s="12"/>
    </row>
    <row r="9" spans="1:17" x14ac:dyDescent="0.45">
      <c r="A9" s="109"/>
      <c r="B9" s="109"/>
      <c r="C9" s="3" t="str">
        <f>'BOM_(신조) HiNAS Nav'!B18</f>
        <v>SC0005</v>
      </c>
      <c r="D9" s="4" t="str">
        <f>'BOM_(신조) HiNAS Nav'!C18</f>
        <v>NAS junction box</v>
      </c>
      <c r="E9" s="4" t="str">
        <f>'BOM_(신조) HiNAS Nav'!E18</f>
        <v>정션박스</v>
      </c>
      <c r="F9" s="5">
        <f>'BOM_(신조) HiNAS Nav'!I18</f>
        <v>1</v>
      </c>
      <c r="G9" s="4" t="str">
        <f>'BOM_(신조) HiNAS Nav'!M18</f>
        <v>MRC</v>
      </c>
      <c r="H9" s="4" t="str">
        <f>'BOM_(신조) HiNAS Nav'!O18</f>
        <v xml:space="preserve"> - </v>
      </c>
      <c r="K9" s="114"/>
      <c r="L9" s="8" t="s">
        <v>26</v>
      </c>
      <c r="M9" s="8" t="s">
        <v>565</v>
      </c>
      <c r="N9" s="8" t="s">
        <v>572</v>
      </c>
    </row>
    <row r="10" spans="1:17" x14ac:dyDescent="0.45">
      <c r="A10" s="109"/>
      <c r="B10" s="109"/>
      <c r="C10" s="3" t="str">
        <f>'BOM_(신조) HiNAS Nav'!B19</f>
        <v>SS0003</v>
      </c>
      <c r="D10" s="4" t="str">
        <f>'BOM_(신조) HiNAS Nav'!C19</f>
        <v>Single Board Computer</v>
      </c>
      <c r="E10" s="4" t="str">
        <f>'BOM_(신조) HiNAS Nav'!E19</f>
        <v>카메라와 서버 연동</v>
      </c>
      <c r="F10" s="5">
        <f>'BOM_(신조) HiNAS Nav'!I19</f>
        <v>1</v>
      </c>
      <c r="G10" s="4" t="str">
        <f>'BOM_(신조) HiNAS Nav'!M19</f>
        <v>사이더스/e-con</v>
      </c>
      <c r="H10" s="4" t="str">
        <f>'BOM_(신조) HiNAS Nav'!O19</f>
        <v xml:space="preserve"> - </v>
      </c>
      <c r="K10" s="114"/>
      <c r="L10" s="8" t="s">
        <v>28</v>
      </c>
      <c r="M10" s="8" t="s">
        <v>565</v>
      </c>
      <c r="N10" s="8" t="s">
        <v>573</v>
      </c>
    </row>
    <row r="11" spans="1:17" x14ac:dyDescent="0.45">
      <c r="A11" s="109"/>
      <c r="B11" s="109"/>
      <c r="C11" s="3" t="str">
        <f>'BOM_(신조) HiNAS Nav'!B20</f>
        <v>SZ0012</v>
      </c>
      <c r="D11" s="4" t="str">
        <f>'BOM_(신조) HiNAS Nav'!C20</f>
        <v>SMPS</v>
      </c>
      <c r="E11" s="4" t="str">
        <f>'BOM_(신조) HiNAS Nav'!E20</f>
        <v>Single Board Computer  전원 공급</v>
      </c>
      <c r="F11" s="5">
        <f>'BOM_(신조) HiNAS Nav'!I20</f>
        <v>1</v>
      </c>
      <c r="G11" s="4" t="str">
        <f>'BOM_(신조) HiNAS Nav'!M20</f>
        <v>파워캅</v>
      </c>
      <c r="H11" s="4" t="str">
        <f>'BOM_(신조) HiNAS Nav'!O20</f>
        <v xml:space="preserve"> - </v>
      </c>
      <c r="K11" s="114"/>
      <c r="L11" s="8" t="s">
        <v>31</v>
      </c>
      <c r="M11" s="8" t="s">
        <v>566</v>
      </c>
      <c r="N11" s="8" t="s">
        <v>570</v>
      </c>
    </row>
    <row r="12" spans="1:17" x14ac:dyDescent="0.45">
      <c r="A12" s="109"/>
      <c r="B12" s="109"/>
      <c r="C12" s="3" t="str">
        <f>'BOM_(신조) HiNAS Nav'!B21</f>
        <v>SZ0014</v>
      </c>
      <c r="D12" s="4" t="str">
        <f>'BOM_(신조) HiNAS Nav'!C21</f>
        <v>EMI/EMC filter</v>
      </c>
      <c r="E12" s="4" t="str">
        <f>'BOM_(신조) HiNAS Nav'!E21</f>
        <v>정션박스 전자파 차폐용</v>
      </c>
      <c r="F12" s="5">
        <f>'BOM_(신조) HiNAS Nav'!I21</f>
        <v>1</v>
      </c>
      <c r="G12" s="4" t="str">
        <f>'BOM_(신조) HiNAS Nav'!M21</f>
        <v>오키</v>
      </c>
      <c r="H12" s="4" t="str">
        <f>'BOM_(신조) HiNAS Nav'!O21</f>
        <v xml:space="preserve"> - </v>
      </c>
      <c r="K12" s="114"/>
      <c r="L12" s="8" t="s">
        <v>33</v>
      </c>
      <c r="M12" s="8" t="s">
        <v>566</v>
      </c>
      <c r="N12" s="8" t="s">
        <v>574</v>
      </c>
    </row>
    <row r="13" spans="1:17" x14ac:dyDescent="0.45">
      <c r="A13" s="109"/>
      <c r="B13" s="109"/>
      <c r="C13" s="3" t="str">
        <f>'BOM_(신조) HiNAS Nav'!B22</f>
        <v>SB0002</v>
      </c>
      <c r="D13" s="4" t="str">
        <f>'BOM_(신조) HiNAS Nav'!C22</f>
        <v>Network switch</v>
      </c>
      <c r="E13" s="4" t="str">
        <f>'BOM_(신조) HiNAS Nav'!E22</f>
        <v>허브 (선급인증품)</v>
      </c>
      <c r="F13" s="5">
        <f>'BOM_(신조) HiNAS Nav'!I22</f>
        <v>1</v>
      </c>
      <c r="G13" s="4" t="str">
        <f>'BOM_(신조) HiNAS Nav'!M22</f>
        <v>여의시스템</v>
      </c>
      <c r="H13" s="4" t="str">
        <f>'BOM_(신조) HiNAS Nav'!O22</f>
        <v xml:space="preserve"> - </v>
      </c>
      <c r="K13" s="114"/>
      <c r="L13" s="7" t="s">
        <v>34</v>
      </c>
      <c r="M13" s="8" t="s">
        <v>566</v>
      </c>
      <c r="N13" s="7" t="s">
        <v>572</v>
      </c>
    </row>
    <row r="14" spans="1:17" x14ac:dyDescent="0.45">
      <c r="A14" s="109"/>
      <c r="B14" s="109"/>
      <c r="C14" s="3" t="str">
        <f>'BOM_(신조) HiNAS Nav'!B23</f>
        <v>SE0003</v>
      </c>
      <c r="D14" s="4" t="str">
        <f>'BOM_(신조) HiNAS Nav'!C23</f>
        <v>UPS</v>
      </c>
      <c r="E14" s="4" t="str">
        <f>'BOM_(신조) HiNAS Nav'!E23</f>
        <v>1kVA, 무정전 전원 공급, Stand type</v>
      </c>
      <c r="F14" s="5">
        <f>'BOM_(신조) HiNAS Nav'!I23</f>
        <v>1</v>
      </c>
      <c r="G14" s="4" t="str">
        <f>'BOM_(신조) HiNAS Nav'!M23</f>
        <v>기호티이에스</v>
      </c>
      <c r="H14" s="4" t="str">
        <f>'BOM_(신조) HiNAS Nav'!O23</f>
        <v>마린필터, network card, 케이블 포함</v>
      </c>
      <c r="K14" s="107"/>
      <c r="L14" s="108"/>
      <c r="M14" s="108"/>
      <c r="N14" s="108"/>
    </row>
    <row r="15" spans="1:17" x14ac:dyDescent="0.45">
      <c r="A15" s="109"/>
      <c r="B15" s="109"/>
      <c r="C15" s="3" t="str">
        <f>'BOM_(신조) HiNAS Nav'!B24</f>
        <v>SZ0019</v>
      </c>
      <c r="D15" s="4" t="str">
        <f>'BOM_(신조) HiNAS Nav'!C24</f>
        <v>멀티탭</v>
      </c>
      <c r="E15" s="4" t="str">
        <f>'BOM_(신조) HiNAS Nav'!E24</f>
        <v>UPS용</v>
      </c>
      <c r="F15" s="5">
        <f>'BOM_(신조) HiNAS Nav'!I24</f>
        <v>2</v>
      </c>
      <c r="G15" s="4" t="str">
        <f>'BOM_(신조) HiNAS Nav'!M24</f>
        <v>쿠팡</v>
      </c>
      <c r="H15" s="4" t="str">
        <f>'BOM_(신조) HiNAS Nav'!O24</f>
        <v xml:space="preserve"> - </v>
      </c>
      <c r="K15" s="105"/>
      <c r="L15" s="106"/>
      <c r="M15" s="106"/>
      <c r="N15" s="106"/>
    </row>
    <row r="16" spans="1:17" x14ac:dyDescent="0.45">
      <c r="A16" s="109"/>
      <c r="B16" s="109"/>
      <c r="C16" s="3" t="str">
        <f>'BOM_(신조) HiNAS Nav'!B25</f>
        <v>SZ0020</v>
      </c>
      <c r="D16" s="4" t="str">
        <f>'BOM_(신조) HiNAS Nav'!C25</f>
        <v>C13-C14(MALE)</v>
      </c>
      <c r="E16" s="4" t="str">
        <f>'BOM_(신조) HiNAS Nav'!E25</f>
        <v>UPS용</v>
      </c>
      <c r="F16" s="5">
        <f>'BOM_(신조) HiNAS Nav'!I25</f>
        <v>3</v>
      </c>
      <c r="G16" s="4" t="str">
        <f>'BOM_(신조) HiNAS Nav'!M25</f>
        <v>한주전자</v>
      </c>
      <c r="H16" s="4" t="str">
        <f>'BOM_(신조) HiNAS Nav'!O25</f>
        <v xml:space="preserve"> - </v>
      </c>
    </row>
    <row r="17" spans="1:8" x14ac:dyDescent="0.45">
      <c r="A17" s="112" t="s">
        <v>8</v>
      </c>
      <c r="B17" s="112" t="s">
        <v>560</v>
      </c>
      <c r="C17" s="13" t="str">
        <f>'BOM_(신조) HiNAS Nav DOM'!B11</f>
        <v>SM0002</v>
      </c>
      <c r="D17" s="4" t="str">
        <f>'BOM_(신조) HiNAS Nav DOM'!C11</f>
        <v>Monitor</v>
      </c>
      <c r="E17" s="4" t="str">
        <f>'BOM_(신조) HiNAS Nav DOM'!E11</f>
        <v>DOM 58.4인치 모니터</v>
      </c>
      <c r="F17" s="5">
        <f>'BOM_(신조) HiNAS Nav DOM'!I11</f>
        <v>1</v>
      </c>
      <c r="G17" s="4" t="str">
        <f>'BOM_(신조) HiNAS Nav DOM'!M11</f>
        <v>MRC/테트라다인</v>
      </c>
      <c r="H17" s="4" t="str">
        <f>'BOM_(신조) HiNAS Nav DOM'!O11</f>
        <v>RCU, RCU cable, RS485 cable, bracket 포함</v>
      </c>
    </row>
    <row r="18" spans="1:8" x14ac:dyDescent="0.45">
      <c r="A18" s="112"/>
      <c r="B18" s="112"/>
      <c r="C18" s="13" t="str">
        <f>'BOM_(신조) HiNAS Nav DOM'!B12</f>
        <v>SS0001</v>
      </c>
      <c r="D18" s="4" t="str">
        <f>'BOM_(신조) HiNAS Nav DOM'!C12</f>
        <v>Server</v>
      </c>
      <c r="E18" s="4" t="str">
        <f>'BOM_(신조) HiNAS Nav DOM'!E12</f>
        <v>메인 서버</v>
      </c>
      <c r="F18" s="5">
        <f>'BOM_(신조) HiNAS Nav DOM'!I12</f>
        <v>1</v>
      </c>
      <c r="G18" s="4" t="str">
        <f>'BOM_(신조) HiNAS Nav DOM'!M12</f>
        <v>테트라다인</v>
      </c>
      <c r="H18" s="4" t="str">
        <f>'BOM_(신조) HiNAS Nav DOM'!O12</f>
        <v xml:space="preserve"> - </v>
      </c>
    </row>
    <row r="19" spans="1:8" x14ac:dyDescent="0.45">
      <c r="A19" s="112"/>
      <c r="B19" s="112"/>
      <c r="C19" s="13" t="str">
        <f>'BOM_(신조) HiNAS Nav DOM'!B13</f>
        <v>SZ0013</v>
      </c>
      <c r="D19" s="4" t="str">
        <f>'BOM_(신조) HiNAS Nav DOM'!C13</f>
        <v>Trackball Mouse</v>
      </c>
      <c r="E19" s="4" t="str">
        <f>'BOM_(신조) HiNAS Nav DOM'!E13</f>
        <v>마우스</v>
      </c>
      <c r="F19" s="5">
        <f>'BOM_(신조) HiNAS Nav DOM'!I13</f>
        <v>2</v>
      </c>
      <c r="G19" s="4" t="str">
        <f>'BOM_(신조) HiNAS Nav DOM'!M13</f>
        <v>쿠팡</v>
      </c>
      <c r="H19" s="4" t="str">
        <f>'BOM_(신조) HiNAS Nav DOM'!O13</f>
        <v xml:space="preserve"> - </v>
      </c>
    </row>
    <row r="20" spans="1:8" x14ac:dyDescent="0.45">
      <c r="A20" s="112"/>
      <c r="B20" s="112"/>
      <c r="C20" s="13" t="str">
        <f>'BOM_(신조) HiNAS Nav DOM'!B14</f>
        <v>SB0004</v>
      </c>
      <c r="D20" s="4" t="str">
        <f>'BOM_(신조) HiNAS Nav DOM'!C14</f>
        <v>Firewall</v>
      </c>
      <c r="E20" s="4" t="str">
        <f>'BOM_(신조) HiNAS Nav DOM'!E14</f>
        <v>방화벽 (선급인증품)</v>
      </c>
      <c r="F20" s="5">
        <f>'BOM_(신조) HiNAS Nav DOM'!I14</f>
        <v>1</v>
      </c>
      <c r="G20" s="4" t="str">
        <f>'BOM_(신조) HiNAS Nav DOM'!M14</f>
        <v>MRC</v>
      </c>
      <c r="H20" s="4" t="str">
        <f>'BOM_(신조) HiNAS Nav DOM'!O14</f>
        <v xml:space="preserve"> - </v>
      </c>
    </row>
    <row r="21" spans="1:8" x14ac:dyDescent="0.45">
      <c r="A21" s="112"/>
      <c r="B21" s="112"/>
      <c r="C21" s="13" t="str">
        <f>'BOM_(신조) HiNAS Nav DOM'!B15</f>
        <v>SB0002</v>
      </c>
      <c r="D21" s="4" t="str">
        <f>'BOM_(신조) HiNAS Nav DOM'!C15</f>
        <v>Network switch</v>
      </c>
      <c r="E21" s="4" t="str">
        <f>'BOM_(신조) HiNAS Nav DOM'!E15</f>
        <v>허브 (선급인증품)</v>
      </c>
      <c r="F21" s="5">
        <f>'BOM_(신조) HiNAS Nav DOM'!I15</f>
        <v>1</v>
      </c>
      <c r="G21" s="4" t="str">
        <f>'BOM_(신조) HiNAS Nav DOM'!M15</f>
        <v>여의시스템</v>
      </c>
      <c r="H21" s="4" t="str">
        <f>'BOM_(신조) HiNAS Nav DOM'!O15</f>
        <v xml:space="preserve"> - </v>
      </c>
    </row>
    <row r="22" spans="1:8" x14ac:dyDescent="0.45">
      <c r="A22" s="112"/>
      <c r="B22" s="112"/>
      <c r="C22" s="13" t="str">
        <f>'BOM_(신조) HiNAS Nav DOM'!B16</f>
        <v>SC0004</v>
      </c>
      <c r="D22" s="4" t="str">
        <f>'BOM_(신조) HiNAS Nav DOM'!C16</f>
        <v>NAS camera housing</v>
      </c>
      <c r="E22" s="4" t="str">
        <f>'BOM_(신조) HiNAS Nav DOM'!E16</f>
        <v>하우징</v>
      </c>
      <c r="F22" s="5">
        <f>'BOM_(신조) HiNAS Nav DOM'!I16</f>
        <v>1</v>
      </c>
      <c r="G22" s="4" t="str">
        <f>'BOM_(신조) HiNAS Nav DOM'!M16</f>
        <v>MRC</v>
      </c>
      <c r="H22" s="4" t="str">
        <f>'BOM_(신조) HiNAS Nav DOM'!O16</f>
        <v xml:space="preserve"> - </v>
      </c>
    </row>
    <row r="23" spans="1:8" x14ac:dyDescent="0.45">
      <c r="A23" s="112"/>
      <c r="B23" s="112"/>
      <c r="C23" s="13" t="str">
        <f>'BOM_(신조) HiNAS Nav DOM'!B17</f>
        <v>SC0010</v>
      </c>
      <c r="D23" s="4" t="str">
        <f>'BOM_(신조) HiNAS Nav DOM'!C17</f>
        <v>EO Camera</v>
      </c>
      <c r="E23" s="4" t="str">
        <f>'BOM_(신조) HiNAS Nav DOM'!E17</f>
        <v>광학 카메라(4K)</v>
      </c>
      <c r="F23" s="5">
        <f>'BOM_(신조) HiNAS Nav DOM'!I17</f>
        <v>3</v>
      </c>
      <c r="G23" s="4" t="str">
        <f>'BOM_(신조) HiNAS Nav DOM'!M17</f>
        <v>사이더스/e-con</v>
      </c>
      <c r="H23" s="4" t="str">
        <f>'BOM_(신조) HiNAS Nav DOM'!O17</f>
        <v>w. GMSL cable</v>
      </c>
    </row>
    <row r="24" spans="1:8" x14ac:dyDescent="0.45">
      <c r="A24" s="112"/>
      <c r="B24" s="112"/>
      <c r="C24" s="13" t="str">
        <f>'BOM_(신조) HiNAS Nav DOM'!B18</f>
        <v>SC0002</v>
      </c>
      <c r="D24" s="4" t="str">
        <f>'BOM_(신조) HiNAS Nav DOM'!C18</f>
        <v>IR camera</v>
      </c>
      <c r="E24" s="4" t="str">
        <f>'BOM_(신조) HiNAS Nav DOM'!E18</f>
        <v>열화상 카메라</v>
      </c>
      <c r="F24" s="5">
        <f>'BOM_(신조) HiNAS Nav DOM'!I18</f>
        <v>3</v>
      </c>
      <c r="G24" s="4" t="str">
        <f>'BOM_(신조) HiNAS Nav DOM'!M18</f>
        <v>IRKEN/FLIR</v>
      </c>
      <c r="H24" s="4" t="str">
        <f>'BOM_(신조) HiNAS Nav DOM'!O18</f>
        <v>w. VPC KIT</v>
      </c>
    </row>
    <row r="25" spans="1:8" x14ac:dyDescent="0.45">
      <c r="A25" s="112"/>
      <c r="B25" s="112"/>
      <c r="C25" s="13" t="str">
        <f>'BOM_(신조) HiNAS Nav DOM'!B19</f>
        <v>SC0003</v>
      </c>
      <c r="D25" s="4" t="str">
        <f>'BOM_(신조) HiNAS Nav DOM'!C19</f>
        <v>IR camera window</v>
      </c>
      <c r="E25" s="4" t="str">
        <f>'BOM_(신조) HiNAS Nav DOM'!E19</f>
        <v>열화상 카메라 윈도우</v>
      </c>
      <c r="F25" s="5">
        <f>'BOM_(신조) HiNAS Nav DOM'!I19</f>
        <v>3</v>
      </c>
      <c r="G25" s="4" t="str">
        <f>'BOM_(신조) HiNAS Nav DOM'!M19</f>
        <v>센서캠</v>
      </c>
      <c r="H25" s="4" t="str">
        <f>'BOM_(신조) HiNAS Nav DOM'!O19</f>
        <v>1세대 용 (직경 42mm)</v>
      </c>
    </row>
    <row r="26" spans="1:8" x14ac:dyDescent="0.45">
      <c r="A26" s="112"/>
      <c r="B26" s="112"/>
      <c r="C26" s="13" t="str">
        <f>'BOM_(신조) HiNAS Nav DOM'!B20</f>
        <v>SC0005</v>
      </c>
      <c r="D26" s="4" t="str">
        <f>'BOM_(신조) HiNAS Nav DOM'!C20</f>
        <v>NAS junction box</v>
      </c>
      <c r="E26" s="4" t="str">
        <f>'BOM_(신조) HiNAS Nav DOM'!E20</f>
        <v>정션박스</v>
      </c>
      <c r="F26" s="5">
        <f>'BOM_(신조) HiNAS Nav DOM'!I20</f>
        <v>1</v>
      </c>
      <c r="G26" s="4" t="str">
        <f>'BOM_(신조) HiNAS Nav DOM'!M20</f>
        <v>MRC</v>
      </c>
      <c r="H26" s="4" t="str">
        <f>'BOM_(신조) HiNAS Nav DOM'!O20</f>
        <v xml:space="preserve"> - </v>
      </c>
    </row>
    <row r="27" spans="1:8" x14ac:dyDescent="0.45">
      <c r="A27" s="112"/>
      <c r="B27" s="112"/>
      <c r="C27" s="13" t="str">
        <f>'BOM_(신조) HiNAS Nav DOM'!B21</f>
        <v>SS0003</v>
      </c>
      <c r="D27" s="4" t="str">
        <f>'BOM_(신조) HiNAS Nav DOM'!C21</f>
        <v>Single Board Computer</v>
      </c>
      <c r="E27" s="4" t="str">
        <f>'BOM_(신조) HiNAS Nav DOM'!E21</f>
        <v>카메라와 서버 연동</v>
      </c>
      <c r="F27" s="5">
        <f>'BOM_(신조) HiNAS Nav DOM'!I21</f>
        <v>1</v>
      </c>
      <c r="G27" s="4" t="str">
        <f>'BOM_(신조) HiNAS Nav DOM'!M21</f>
        <v>사이더스/e-con</v>
      </c>
      <c r="H27" s="4" t="str">
        <f>'BOM_(신조) HiNAS Nav DOM'!O21</f>
        <v xml:space="preserve"> - </v>
      </c>
    </row>
    <row r="28" spans="1:8" x14ac:dyDescent="0.45">
      <c r="A28" s="112"/>
      <c r="B28" s="112"/>
      <c r="C28" s="13" t="str">
        <f>'BOM_(신조) HiNAS Nav DOM'!B22</f>
        <v>SZ0012</v>
      </c>
      <c r="D28" s="4" t="str">
        <f>'BOM_(신조) HiNAS Nav DOM'!C22</f>
        <v>SMPS</v>
      </c>
      <c r="E28" s="4" t="str">
        <f>'BOM_(신조) HiNAS Nav DOM'!E22</f>
        <v>Single Board Computer  전원 공급</v>
      </c>
      <c r="F28" s="5">
        <f>'BOM_(신조) HiNAS Nav DOM'!I22</f>
        <v>1</v>
      </c>
      <c r="G28" s="4" t="str">
        <f>'BOM_(신조) HiNAS Nav DOM'!M22</f>
        <v>파워캅</v>
      </c>
      <c r="H28" s="4" t="str">
        <f>'BOM_(신조) HiNAS Nav DOM'!O22</f>
        <v xml:space="preserve"> - </v>
      </c>
    </row>
    <row r="29" spans="1:8" x14ac:dyDescent="0.45">
      <c r="A29" s="112"/>
      <c r="B29" s="112"/>
      <c r="C29" s="13" t="str">
        <f>'BOM_(신조) HiNAS Nav DOM'!B23</f>
        <v>SZ0014</v>
      </c>
      <c r="D29" s="4" t="str">
        <f>'BOM_(신조) HiNAS Nav DOM'!C23</f>
        <v>EMI/EMC filter</v>
      </c>
      <c r="E29" s="4" t="str">
        <f>'BOM_(신조) HiNAS Nav DOM'!E23</f>
        <v>정션박스 전자파 차폐용</v>
      </c>
      <c r="F29" s="5">
        <f>'BOM_(신조) HiNAS Nav DOM'!I23</f>
        <v>1</v>
      </c>
      <c r="G29" s="4" t="str">
        <f>'BOM_(신조) HiNAS Nav DOM'!M23</f>
        <v>오키</v>
      </c>
      <c r="H29" s="4" t="str">
        <f>'BOM_(신조) HiNAS Nav DOM'!O23</f>
        <v xml:space="preserve"> - </v>
      </c>
    </row>
    <row r="30" spans="1:8" x14ac:dyDescent="0.45">
      <c r="A30" s="112"/>
      <c r="B30" s="112"/>
      <c r="C30" s="13" t="str">
        <f>'BOM_(신조) HiNAS Nav DOM'!B24</f>
        <v>SE0003</v>
      </c>
      <c r="D30" s="4" t="str">
        <f>'BOM_(신조) HiNAS Nav DOM'!C24</f>
        <v>UPS</v>
      </c>
      <c r="E30" s="4" t="str">
        <f>'BOM_(신조) HiNAS Nav DOM'!E24</f>
        <v>1kVA, 무정전 전원 공급, Stand type</v>
      </c>
      <c r="F30" s="5">
        <f>'BOM_(신조) HiNAS Nav DOM'!I24</f>
        <v>1</v>
      </c>
      <c r="G30" s="4" t="str">
        <f>'BOM_(신조) HiNAS Nav DOM'!M24</f>
        <v>기호티이에스</v>
      </c>
      <c r="H30" s="4" t="str">
        <f>'BOM_(신조) HiNAS Nav DOM'!O24</f>
        <v>마린필터, network card, 케이블 포함</v>
      </c>
    </row>
    <row r="31" spans="1:8" x14ac:dyDescent="0.45">
      <c r="A31" s="112"/>
      <c r="B31" s="112"/>
      <c r="C31" s="13" t="str">
        <f>'BOM_(신조) HiNAS Nav DOM'!B25</f>
        <v>SZ0019</v>
      </c>
      <c r="D31" s="4" t="str">
        <f>'BOM_(신조) HiNAS Nav DOM'!C25</f>
        <v>멀티탭</v>
      </c>
      <c r="E31" s="4" t="str">
        <f>'BOM_(신조) HiNAS Nav DOM'!E25</f>
        <v>UPS용</v>
      </c>
      <c r="F31" s="5">
        <f>'BOM_(신조) HiNAS Nav DOM'!I25</f>
        <v>2</v>
      </c>
      <c r="G31" s="4" t="str">
        <f>'BOM_(신조) HiNAS Nav DOM'!M25</f>
        <v>쿠팡</v>
      </c>
      <c r="H31" s="4" t="str">
        <f>'BOM_(신조) HiNAS Nav DOM'!O25</f>
        <v xml:space="preserve"> - </v>
      </c>
    </row>
    <row r="32" spans="1:8" x14ac:dyDescent="0.45">
      <c r="A32" s="112"/>
      <c r="B32" s="112"/>
      <c r="C32" s="13" t="str">
        <f>'BOM_(신조) HiNAS Nav DOM'!B26</f>
        <v>SZ0020</v>
      </c>
      <c r="D32" s="4" t="str">
        <f>'BOM_(신조) HiNAS Nav DOM'!C26</f>
        <v>C13-C14(MALE)</v>
      </c>
      <c r="E32" s="4" t="str">
        <f>'BOM_(신조) HiNAS Nav DOM'!E26</f>
        <v>UPS용</v>
      </c>
      <c r="F32" s="5">
        <f>'BOM_(신조) HiNAS Nav DOM'!I26</f>
        <v>3</v>
      </c>
      <c r="G32" s="4" t="str">
        <f>'BOM_(신조) HiNAS Nav DOM'!M26</f>
        <v>한주전자</v>
      </c>
      <c r="H32" s="4" t="str">
        <f>'BOM_(신조) HiNAS Nav DOM'!O26</f>
        <v xml:space="preserve"> - </v>
      </c>
    </row>
    <row r="33" spans="1:8" x14ac:dyDescent="0.45">
      <c r="A33" s="109" t="s">
        <v>8</v>
      </c>
      <c r="B33" s="109" t="s">
        <v>35</v>
      </c>
      <c r="C33" s="3" t="str">
        <f>'BOM_(신조) HiNAS Control'!B11</f>
        <v>SM0002</v>
      </c>
      <c r="D33" s="4" t="str">
        <f>'BOM_(신조) HiNAS Control'!C11</f>
        <v>Monitor</v>
      </c>
      <c r="E33" s="4" t="str">
        <f>'BOM_(신조) HiNAS Control'!E11</f>
        <v>DOM 58.4인치 모니터</v>
      </c>
      <c r="F33" s="5">
        <f>'BOM_(신조) HiNAS Control'!I11</f>
        <v>1</v>
      </c>
      <c r="G33" s="4" t="str">
        <f>'BOM_(신조) HiNAS Control'!M11</f>
        <v>MRC/테트라다인</v>
      </c>
      <c r="H33" s="4" t="str">
        <f>'BOM_(신조) HiNAS Control'!O11</f>
        <v>RCU, RCU cable, RS485 cable, bracket 포함</v>
      </c>
    </row>
    <row r="34" spans="1:8" x14ac:dyDescent="0.45">
      <c r="A34" s="109"/>
      <c r="B34" s="109"/>
      <c r="C34" s="3" t="str">
        <f>'BOM_(신조) HiNAS Control'!B12</f>
        <v>SM0003</v>
      </c>
      <c r="D34" s="4" t="str">
        <f>'BOM_(신조) HiNAS Control'!C12</f>
        <v>Monitor</v>
      </c>
      <c r="E34" s="4" t="str">
        <f>'BOM_(신조) HiNAS Control'!E12</f>
        <v>32인치 모니터</v>
      </c>
      <c r="F34" s="5">
        <f>'BOM_(신조) HiNAS Control'!I12</f>
        <v>1</v>
      </c>
      <c r="G34" s="4" t="str">
        <f>'BOM_(신조) HiNAS Control'!M12</f>
        <v>MRC/테트라다인</v>
      </c>
      <c r="H34" s="4" t="str">
        <f>'BOM_(신조) HiNAS Control'!O12</f>
        <v>RCU, RCU cable, RS485 cable, bracket 포함</v>
      </c>
    </row>
    <row r="35" spans="1:8" x14ac:dyDescent="0.45">
      <c r="A35" s="109"/>
      <c r="B35" s="109"/>
      <c r="C35" s="3" t="str">
        <f>'BOM_(신조) HiNAS Control'!B13</f>
        <v>SS0001</v>
      </c>
      <c r="D35" s="4" t="str">
        <f>'BOM_(신조) HiNAS Control'!C13</f>
        <v>Server</v>
      </c>
      <c r="E35" s="4" t="str">
        <f>'BOM_(신조) HiNAS Control'!E13</f>
        <v>메인 서버</v>
      </c>
      <c r="F35" s="5">
        <f>'BOM_(신조) HiNAS Control'!I13</f>
        <v>2</v>
      </c>
      <c r="G35" s="4" t="str">
        <f>'BOM_(신조) HiNAS Control'!M13</f>
        <v>테트라다인</v>
      </c>
      <c r="H35" s="4" t="str">
        <f>'BOM_(신조) HiNAS Control'!O13</f>
        <v xml:space="preserve"> - </v>
      </c>
    </row>
    <row r="36" spans="1:8" x14ac:dyDescent="0.45">
      <c r="A36" s="109"/>
      <c r="B36" s="109"/>
      <c r="C36" s="3" t="str">
        <f>'BOM_(신조) HiNAS Control'!B14</f>
        <v>SS0002</v>
      </c>
      <c r="D36" s="4" t="str">
        <f>'BOM_(신조) HiNAS Control'!C14</f>
        <v>Client</v>
      </c>
      <c r="E36" s="4" t="str">
        <f>'BOM_(신조) HiNAS Control'!E14</f>
        <v>클라이언트 서버</v>
      </c>
      <c r="F36" s="5">
        <f>'BOM_(신조) HiNAS Control'!I14</f>
        <v>2</v>
      </c>
      <c r="G36" s="4" t="str">
        <f>'BOM_(신조) HiNAS Control'!M14</f>
        <v>테트라다인</v>
      </c>
      <c r="H36" s="4" t="str">
        <f>'BOM_(신조) HiNAS Control'!O14</f>
        <v xml:space="preserve"> - </v>
      </c>
    </row>
    <row r="37" spans="1:8" x14ac:dyDescent="0.45">
      <c r="A37" s="109"/>
      <c r="B37" s="109"/>
      <c r="C37" s="3" t="str">
        <f>'BOM_(신조) HiNAS Control'!B15</f>
        <v>SZ0006</v>
      </c>
      <c r="D37" s="4" t="str">
        <f>'BOM_(신조) HiNAS Control'!C15</f>
        <v>Keyboard with trackball</v>
      </c>
      <c r="E37" s="4" t="str">
        <f>'BOM_(신조) HiNAS Control'!E15</f>
        <v>선급인증품</v>
      </c>
      <c r="F37" s="5">
        <f>'BOM_(신조) HiNAS Control'!I15</f>
        <v>2</v>
      </c>
      <c r="G37" s="4" t="str">
        <f>'BOM_(신조) HiNAS Control'!M15</f>
        <v>피앤피컴포넌츠</v>
      </c>
      <c r="H37" s="4" t="str">
        <f>'BOM_(신조) HiNAS Control'!O15</f>
        <v>panel mount / flush type</v>
      </c>
    </row>
    <row r="38" spans="1:8" x14ac:dyDescent="0.45">
      <c r="A38" s="109"/>
      <c r="B38" s="109"/>
      <c r="C38" s="3" t="str">
        <f>'BOM_(신조) HiNAS Control'!B16</f>
        <v>SC0004</v>
      </c>
      <c r="D38" s="4" t="str">
        <f>'BOM_(신조) HiNAS Control'!C16</f>
        <v>NAS camera housing</v>
      </c>
      <c r="E38" s="4" t="str">
        <f>'BOM_(신조) HiNAS Control'!E16</f>
        <v>하우징</v>
      </c>
      <c r="F38" s="5">
        <f>'BOM_(신조) HiNAS Control'!I16</f>
        <v>1</v>
      </c>
      <c r="G38" s="4" t="str">
        <f>'BOM_(신조) HiNAS Control'!M16</f>
        <v>MRC</v>
      </c>
      <c r="H38" s="4" t="str">
        <f>'BOM_(신조) HiNAS Control'!O16</f>
        <v xml:space="preserve"> - </v>
      </c>
    </row>
    <row r="39" spans="1:8" x14ac:dyDescent="0.45">
      <c r="A39" s="109"/>
      <c r="B39" s="109"/>
      <c r="C39" s="3" t="str">
        <f>'BOM_(신조) HiNAS Control'!B17</f>
        <v>SC0010</v>
      </c>
      <c r="D39" s="4" t="str">
        <f>'BOM_(신조) HiNAS Control'!C17</f>
        <v>EO Camera</v>
      </c>
      <c r="E39" s="4" t="str">
        <f>'BOM_(신조) HiNAS Control'!E17</f>
        <v>광학 카메라(4K)</v>
      </c>
      <c r="F39" s="5">
        <f>'BOM_(신조) HiNAS Control'!I17</f>
        <v>3</v>
      </c>
      <c r="G39" s="4" t="str">
        <f>'BOM_(신조) HiNAS Control'!M17</f>
        <v>사이더스/e-con</v>
      </c>
      <c r="H39" s="4" t="str">
        <f>'BOM_(신조) HiNAS Control'!O17</f>
        <v>w. GMSL cable</v>
      </c>
    </row>
    <row r="40" spans="1:8" x14ac:dyDescent="0.45">
      <c r="A40" s="109"/>
      <c r="B40" s="109"/>
      <c r="C40" s="3" t="str">
        <f>'BOM_(신조) HiNAS Control'!B18</f>
        <v>SC0002</v>
      </c>
      <c r="D40" s="4" t="str">
        <f>'BOM_(신조) HiNAS Control'!C18</f>
        <v>IR camera</v>
      </c>
      <c r="E40" s="4" t="str">
        <f>'BOM_(신조) HiNAS Control'!E18</f>
        <v>열화상 카메라</v>
      </c>
      <c r="F40" s="5">
        <f>'BOM_(신조) HiNAS Control'!I18</f>
        <v>3</v>
      </c>
      <c r="G40" s="4" t="str">
        <f>'BOM_(신조) HiNAS Control'!M18</f>
        <v>IRKEN/FLIR</v>
      </c>
      <c r="H40" s="4" t="str">
        <f>'BOM_(신조) HiNAS Control'!O18</f>
        <v>w. VPC KIT</v>
      </c>
    </row>
    <row r="41" spans="1:8" x14ac:dyDescent="0.45">
      <c r="A41" s="109"/>
      <c r="B41" s="109"/>
      <c r="C41" s="3" t="str">
        <f>'BOM_(신조) HiNAS Control'!B19</f>
        <v>SC0003</v>
      </c>
      <c r="D41" s="4" t="str">
        <f>'BOM_(신조) HiNAS Control'!C19</f>
        <v>IR camera window</v>
      </c>
      <c r="E41" s="4" t="str">
        <f>'BOM_(신조) HiNAS Control'!E19</f>
        <v>열화상 카메라 윈도우</v>
      </c>
      <c r="F41" s="5">
        <f>'BOM_(신조) HiNAS Control'!I19</f>
        <v>3</v>
      </c>
      <c r="G41" s="4" t="str">
        <f>'BOM_(신조) HiNAS Control'!M19</f>
        <v>센서캠</v>
      </c>
      <c r="H41" s="4" t="str">
        <f>'BOM_(신조) HiNAS Control'!O19</f>
        <v>1세대 용 (직경 42mm)</v>
      </c>
    </row>
    <row r="42" spans="1:8" x14ac:dyDescent="0.45">
      <c r="A42" s="109"/>
      <c r="B42" s="109"/>
      <c r="C42" s="3" t="str">
        <f>'BOM_(신조) HiNAS Control'!B20</f>
        <v>SC0005</v>
      </c>
      <c r="D42" s="4" t="str">
        <f>'BOM_(신조) HiNAS Control'!C20</f>
        <v>NAS junction box</v>
      </c>
      <c r="E42" s="4" t="str">
        <f>'BOM_(신조) HiNAS Control'!E20</f>
        <v>정션박스</v>
      </c>
      <c r="F42" s="5">
        <f>'BOM_(신조) HiNAS Control'!I20</f>
        <v>1</v>
      </c>
      <c r="G42" s="4" t="str">
        <f>'BOM_(신조) HiNAS Control'!M20</f>
        <v>MRC</v>
      </c>
      <c r="H42" s="4" t="str">
        <f>'BOM_(신조) HiNAS Control'!O20</f>
        <v xml:space="preserve"> - </v>
      </c>
    </row>
    <row r="43" spans="1:8" x14ac:dyDescent="0.45">
      <c r="A43" s="109"/>
      <c r="B43" s="109"/>
      <c r="C43" s="3" t="str">
        <f>'BOM_(신조) HiNAS Control'!B21</f>
        <v>SS0003</v>
      </c>
      <c r="D43" s="4" t="str">
        <f>'BOM_(신조) HiNAS Control'!C21</f>
        <v>Single Board Computer</v>
      </c>
      <c r="E43" s="4" t="str">
        <f>'BOM_(신조) HiNAS Control'!E21</f>
        <v>카메라와 서버 연동</v>
      </c>
      <c r="F43" s="5">
        <f>'BOM_(신조) HiNAS Control'!I21</f>
        <v>1</v>
      </c>
      <c r="G43" s="4" t="str">
        <f>'BOM_(신조) HiNAS Control'!M21</f>
        <v>사이더스/e-con</v>
      </c>
      <c r="H43" s="4" t="str">
        <f>'BOM_(신조) HiNAS Control'!O21</f>
        <v xml:space="preserve"> - </v>
      </c>
    </row>
    <row r="44" spans="1:8" x14ac:dyDescent="0.45">
      <c r="A44" s="109"/>
      <c r="B44" s="109"/>
      <c r="C44" s="3" t="str">
        <f>'BOM_(신조) HiNAS Control'!B22</f>
        <v>SZ0012</v>
      </c>
      <c r="D44" s="4" t="str">
        <f>'BOM_(신조) HiNAS Control'!C22</f>
        <v>SMPS</v>
      </c>
      <c r="E44" s="4" t="str">
        <f>'BOM_(신조) HiNAS Control'!E22</f>
        <v>Single Board Computer  전원 공급</v>
      </c>
      <c r="F44" s="5">
        <f>'BOM_(신조) HiNAS Control'!I22</f>
        <v>1</v>
      </c>
      <c r="G44" s="4" t="str">
        <f>'BOM_(신조) HiNAS Control'!M22</f>
        <v>파워캅</v>
      </c>
      <c r="H44" s="4" t="str">
        <f>'BOM_(신조) HiNAS Control'!O22</f>
        <v xml:space="preserve"> - </v>
      </c>
    </row>
    <row r="45" spans="1:8" x14ac:dyDescent="0.45">
      <c r="A45" s="109"/>
      <c r="B45" s="109"/>
      <c r="C45" s="3" t="str">
        <f>'BOM_(신조) HiNAS Control'!B23</f>
        <v>SZ0014</v>
      </c>
      <c r="D45" s="4" t="str">
        <f>'BOM_(신조) HiNAS Control'!C23</f>
        <v>EMI/EMC filter</v>
      </c>
      <c r="E45" s="4" t="str">
        <f>'BOM_(신조) HiNAS Control'!E23</f>
        <v>정션박스 전자파 차폐용</v>
      </c>
      <c r="F45" s="5">
        <f>'BOM_(신조) HiNAS Control'!I23</f>
        <v>1</v>
      </c>
      <c r="G45" s="4" t="str">
        <f>'BOM_(신조) HiNAS Control'!M23</f>
        <v>오키</v>
      </c>
      <c r="H45" s="4" t="str">
        <f>'BOM_(신조) HiNAS Control'!O23</f>
        <v xml:space="preserve"> - </v>
      </c>
    </row>
    <row r="46" spans="1:8" x14ac:dyDescent="0.45">
      <c r="A46" s="109"/>
      <c r="B46" s="109"/>
      <c r="C46" s="3" t="str">
        <f>'BOM_(신조) HiNAS Control'!B24</f>
        <v>SZ0007</v>
      </c>
      <c r="D46" s="4" t="str">
        <f>'BOM_(신조) HiNAS Control'!C24</f>
        <v>Main rack</v>
      </c>
      <c r="E46" s="4" t="str">
        <f>'BOM_(신조) HiNAS Control'!E24</f>
        <v>서버/HUB 등 설치용 Rack</v>
      </c>
      <c r="F46" s="5">
        <f>'BOM_(신조) HiNAS Control'!I24</f>
        <v>1</v>
      </c>
      <c r="G46" s="4" t="str">
        <f>'BOM_(신조) HiNAS Control'!M24</f>
        <v>MRC</v>
      </c>
      <c r="H46" s="4" t="str">
        <f>'BOM_(신조) HiNAS Control'!O24</f>
        <v xml:space="preserve"> - </v>
      </c>
    </row>
    <row r="47" spans="1:8" x14ac:dyDescent="0.45">
      <c r="A47" s="109"/>
      <c r="B47" s="109"/>
      <c r="C47" s="3" t="str">
        <f>'BOM_(신조) HiNAS Control'!B25</f>
        <v>SB0002</v>
      </c>
      <c r="D47" s="4" t="str">
        <f>'BOM_(신조) HiNAS Control'!C25</f>
        <v>Network switch</v>
      </c>
      <c r="E47" s="4" t="str">
        <f>'BOM_(신조) HiNAS Control'!E25</f>
        <v>허브 (선급인증품)</v>
      </c>
      <c r="F47" s="5">
        <f>'BOM_(신조) HiNAS Control'!I25</f>
        <v>2</v>
      </c>
      <c r="G47" s="4" t="str">
        <f>'BOM_(신조) HiNAS Control'!M25</f>
        <v>여의시스템</v>
      </c>
      <c r="H47" s="4" t="str">
        <f>'BOM_(신조) HiNAS Control'!O25</f>
        <v xml:space="preserve"> - </v>
      </c>
    </row>
    <row r="48" spans="1:8" x14ac:dyDescent="0.45">
      <c r="A48" s="109"/>
      <c r="B48" s="109"/>
      <c r="C48" s="3" t="str">
        <f>'BOM_(신조) HiNAS Control'!B26</f>
        <v>SB0006</v>
      </c>
      <c r="D48" s="4" t="str">
        <f>'BOM_(신조) HiNAS Control'!C26</f>
        <v>Serial to Ethernet</v>
      </c>
      <c r="E48" s="4" t="str">
        <f>'BOM_(신조) HiNAS Control'!E26</f>
        <v>시리얼 통신을 LAN으로 변환</v>
      </c>
      <c r="F48" s="5">
        <f>'BOM_(신조) HiNAS Control'!I26</f>
        <v>2</v>
      </c>
      <c r="G48" s="4" t="str">
        <f>'BOM_(신조) HiNAS Control'!M26</f>
        <v>여의시스템</v>
      </c>
      <c r="H48" s="4" t="str">
        <f>'BOM_(신조) HiNAS Control'!O26</f>
        <v xml:space="preserve"> - </v>
      </c>
    </row>
    <row r="49" spans="1:8" x14ac:dyDescent="0.45">
      <c r="A49" s="109"/>
      <c r="B49" s="109"/>
      <c r="C49" s="3" t="str">
        <f>'BOM_(신조) HiNAS Control'!B27</f>
        <v>SB0013</v>
      </c>
      <c r="D49" s="4" t="str">
        <f>'BOM_(신조) HiNAS Control'!C27</f>
        <v>Actisense OPTO-4</v>
      </c>
      <c r="E49" s="4" t="str">
        <f>'BOM_(신조) HiNAS Control'!E27</f>
        <v>MOXA NPort5450i 케이블</v>
      </c>
      <c r="F49" s="5">
        <f>'BOM_(신조) HiNAS Control'!I27</f>
        <v>4</v>
      </c>
      <c r="G49" s="4" t="str">
        <f>'BOM_(신조) HiNAS Control'!M27</f>
        <v>마린크래프트</v>
      </c>
      <c r="H49" s="4" t="str">
        <f>'BOM_(신조) HiNAS Control'!O27</f>
        <v xml:space="preserve"> - </v>
      </c>
    </row>
    <row r="50" spans="1:8" x14ac:dyDescent="0.45">
      <c r="A50" s="109"/>
      <c r="B50" s="109"/>
      <c r="C50" s="3" t="str">
        <f>'BOM_(신조) HiNAS Control'!B28</f>
        <v>SB0004</v>
      </c>
      <c r="D50" s="4" t="str">
        <f>'BOM_(신조) HiNAS Control'!C28</f>
        <v>Firewall</v>
      </c>
      <c r="E50" s="4" t="str">
        <f>'BOM_(신조) HiNAS Control'!E28</f>
        <v>방화벽 (선급인증품)</v>
      </c>
      <c r="F50" s="5">
        <f>'BOM_(신조) HiNAS Control'!I28</f>
        <v>1</v>
      </c>
      <c r="G50" s="4" t="str">
        <f>'BOM_(신조) HiNAS Control'!M28</f>
        <v>MRC</v>
      </c>
      <c r="H50" s="4" t="str">
        <f>'BOM_(신조) HiNAS Control'!O28</f>
        <v xml:space="preserve"> - </v>
      </c>
    </row>
    <row r="51" spans="1:8" x14ac:dyDescent="0.45">
      <c r="A51" s="109"/>
      <c r="B51" s="109"/>
      <c r="C51" s="3" t="str">
        <f>'BOM_(신조) HiNAS Control'!B29</f>
        <v>SB0011</v>
      </c>
      <c r="D51" s="4" t="str">
        <f>'BOM_(신조) HiNAS Control'!C29</f>
        <v>Selector Switch</v>
      </c>
      <c r="E51" s="4" t="str">
        <f>'BOM_(신조) HiNAS Control'!E29</f>
        <v>HiNAS control 선택 스위치</v>
      </c>
      <c r="F51" s="5">
        <f>'BOM_(신조) HiNAS Control'!I29</f>
        <v>1</v>
      </c>
      <c r="G51" s="4" t="str">
        <f>'BOM_(신조) HiNAS Control'!M29</f>
        <v>MRC/YDK</v>
      </c>
      <c r="H51" s="4" t="str">
        <f>'BOM_(신조) HiNAS Control'!O29</f>
        <v>YOKOGAWA (w. DIMMER BOX)</v>
      </c>
    </row>
    <row r="52" spans="1:8" x14ac:dyDescent="0.45">
      <c r="A52" s="109"/>
      <c r="B52" s="109"/>
      <c r="C52" s="3" t="str">
        <f>'BOM_(신조) HiNAS Control'!B30</f>
        <v>SE0001</v>
      </c>
      <c r="D52" s="4" t="str">
        <f>'BOM_(신조) HiNAS Control'!C30</f>
        <v>UPS</v>
      </c>
      <c r="E52" s="4" t="str">
        <f>'BOM_(신조) HiNAS Control'!E30</f>
        <v>3kVA, 무정전 전원 공급, Rack type</v>
      </c>
      <c r="F52" s="5">
        <f>'BOM_(신조) HiNAS Control'!I30</f>
        <v>1</v>
      </c>
      <c r="G52" s="4" t="str">
        <f>'BOM_(신조) HiNAS Control'!M30</f>
        <v>기호티이에스</v>
      </c>
      <c r="H52" s="4" t="str">
        <f>'BOM_(신조) HiNAS Control'!O30</f>
        <v>마린필터, network card, 케이블 포함</v>
      </c>
    </row>
    <row r="53" spans="1:8" x14ac:dyDescent="0.45">
      <c r="A53" s="109"/>
      <c r="B53" s="109"/>
      <c r="C53" s="3" t="str">
        <f>'BOM_(신조) HiNAS Control'!B31</f>
        <v>SZ0019</v>
      </c>
      <c r="D53" s="4" t="str">
        <f>'BOM_(신조) HiNAS Control'!C31</f>
        <v>멀티탭</v>
      </c>
      <c r="E53" s="4" t="str">
        <f>'BOM_(신조) HiNAS Control'!E31</f>
        <v>UPS용</v>
      </c>
      <c r="F53" s="5">
        <f>'BOM_(신조) HiNAS Control'!I31</f>
        <v>2</v>
      </c>
      <c r="G53" s="4" t="str">
        <f>'BOM_(신조) HiNAS Control'!M31</f>
        <v>쿠팡</v>
      </c>
      <c r="H53" s="4" t="str">
        <f>'BOM_(신조) HiNAS Control'!O31</f>
        <v xml:space="preserve"> - </v>
      </c>
    </row>
    <row r="54" spans="1:8" x14ac:dyDescent="0.45">
      <c r="A54" s="109"/>
      <c r="B54" s="109"/>
      <c r="C54" s="3" t="str">
        <f>'BOM_(신조) HiNAS Control'!B32</f>
        <v>SZ0020</v>
      </c>
      <c r="D54" s="4" t="str">
        <f>'BOM_(신조) HiNAS Control'!C32</f>
        <v>C13-C14(MALE)</v>
      </c>
      <c r="E54" s="4" t="str">
        <f>'BOM_(신조) HiNAS Control'!E32</f>
        <v>UPS용</v>
      </c>
      <c r="F54" s="5">
        <f>'BOM_(신조) HiNAS Control'!I32</f>
        <v>3</v>
      </c>
      <c r="G54" s="4" t="str">
        <f>'BOM_(신조) HiNAS Control'!M32</f>
        <v>한주전자</v>
      </c>
      <c r="H54" s="4" t="str">
        <f>'BOM_(신조) HiNAS Control'!O32</f>
        <v xml:space="preserve"> - </v>
      </c>
    </row>
    <row r="55" spans="1:8" x14ac:dyDescent="0.45">
      <c r="A55" s="112" t="s">
        <v>8</v>
      </c>
      <c r="B55" s="112" t="s">
        <v>559</v>
      </c>
      <c r="C55" s="13" t="str">
        <f>'BOM_(신조) HiNAS Con V2'!B11</f>
        <v>SM0002</v>
      </c>
      <c r="D55" s="4" t="str">
        <f>'BOM_(신조) HiNAS Con V2'!C11</f>
        <v>Monitor</v>
      </c>
      <c r="E55" s="4" t="str">
        <f>'BOM_(신조) HiNAS Con V2'!E11</f>
        <v>DOM 58.4인치 모니터</v>
      </c>
      <c r="F55" s="5">
        <f>'BOM_(신조) HiNAS Con V2'!I11</f>
        <v>1</v>
      </c>
      <c r="G55" s="4" t="str">
        <f>'BOM_(신조) HiNAS Con V2'!M11</f>
        <v>MRC/테트라다인</v>
      </c>
      <c r="H55" s="4" t="str">
        <f>'BOM_(신조) HiNAS Con V2'!O11</f>
        <v>RCU, RCU cable, RS485 cable, bracket 포함</v>
      </c>
    </row>
    <row r="56" spans="1:8" x14ac:dyDescent="0.45">
      <c r="A56" s="112"/>
      <c r="B56" s="112"/>
      <c r="C56" s="13" t="str">
        <f>'BOM_(신조) HiNAS Con V2'!B12</f>
        <v>SM0003</v>
      </c>
      <c r="D56" s="4" t="str">
        <f>'BOM_(신조) HiNAS Con V2'!C12</f>
        <v>Monitor</v>
      </c>
      <c r="E56" s="4" t="str">
        <f>'BOM_(신조) HiNAS Con V2'!E12</f>
        <v>32인치 모니터</v>
      </c>
      <c r="F56" s="5">
        <f>'BOM_(신조) HiNAS Con V2'!I12</f>
        <v>1</v>
      </c>
      <c r="G56" s="4" t="str">
        <f>'BOM_(신조) HiNAS Con V2'!M12</f>
        <v>MRC/테트라다인</v>
      </c>
      <c r="H56" s="4" t="str">
        <f>'BOM_(신조) HiNAS Con V2'!O12</f>
        <v>RCU, RCU cable, RS485 cable, bracket 포함</v>
      </c>
    </row>
    <row r="57" spans="1:8" x14ac:dyDescent="0.45">
      <c r="A57" s="112"/>
      <c r="B57" s="112"/>
      <c r="C57" s="13" t="str">
        <f>'BOM_(신조) HiNAS Con V2'!B13</f>
        <v>SS0001</v>
      </c>
      <c r="D57" s="4" t="str">
        <f>'BOM_(신조) HiNAS Con V2'!C13</f>
        <v>Server</v>
      </c>
      <c r="E57" s="4" t="str">
        <f>'BOM_(신조) HiNAS Con V2'!E13</f>
        <v>메인 서버</v>
      </c>
      <c r="F57" s="5">
        <f>'BOM_(신조) HiNAS Con V2'!I13</f>
        <v>2</v>
      </c>
      <c r="G57" s="4" t="str">
        <f>'BOM_(신조) HiNAS Con V2'!M13</f>
        <v>테트라다인</v>
      </c>
      <c r="H57" s="4" t="str">
        <f>'BOM_(신조) HiNAS Con V2'!O13</f>
        <v xml:space="preserve"> - </v>
      </c>
    </row>
    <row r="58" spans="1:8" x14ac:dyDescent="0.45">
      <c r="A58" s="112"/>
      <c r="B58" s="112"/>
      <c r="C58" s="13" t="str">
        <f>'BOM_(신조) HiNAS Con V2'!B14</f>
        <v>SS0002</v>
      </c>
      <c r="D58" s="4" t="str">
        <f>'BOM_(신조) HiNAS Con V2'!C14</f>
        <v>Client</v>
      </c>
      <c r="E58" s="4" t="str">
        <f>'BOM_(신조) HiNAS Con V2'!E14</f>
        <v>클라이언트 서버</v>
      </c>
      <c r="F58" s="5">
        <f>'BOM_(신조) HiNAS Con V2'!I14</f>
        <v>2</v>
      </c>
      <c r="G58" s="4" t="str">
        <f>'BOM_(신조) HiNAS Con V2'!M14</f>
        <v>테트라다인</v>
      </c>
      <c r="H58" s="4" t="str">
        <f>'BOM_(신조) HiNAS Con V2'!O14</f>
        <v xml:space="preserve"> - </v>
      </c>
    </row>
    <row r="59" spans="1:8" x14ac:dyDescent="0.45">
      <c r="A59" s="112"/>
      <c r="B59" s="112"/>
      <c r="C59" s="13" t="str">
        <f>'BOM_(신조) HiNAS Con V2'!B15</f>
        <v>SZ0006</v>
      </c>
      <c r="D59" s="4" t="str">
        <f>'BOM_(신조) HiNAS Con V2'!C15</f>
        <v>Keyboard with trackball</v>
      </c>
      <c r="E59" s="4" t="str">
        <f>'BOM_(신조) HiNAS Con V2'!E15</f>
        <v>선급인증품</v>
      </c>
      <c r="F59" s="5">
        <f>'BOM_(신조) HiNAS Con V2'!I15</f>
        <v>2</v>
      </c>
      <c r="G59" s="4" t="str">
        <f>'BOM_(신조) HiNAS Con V2'!M15</f>
        <v>피앤피컴포넌츠</v>
      </c>
      <c r="H59" s="4" t="str">
        <f>'BOM_(신조) HiNAS Con V2'!O15</f>
        <v>panel mount / flush type</v>
      </c>
    </row>
    <row r="60" spans="1:8" x14ac:dyDescent="0.45">
      <c r="A60" s="112"/>
      <c r="B60" s="112"/>
      <c r="C60" s="13" t="str">
        <f>'BOM_(신조) HiNAS Con V2'!B16</f>
        <v>SC0020</v>
      </c>
      <c r="D60" s="4" t="str">
        <f>'BOM_(신조) HiNAS Con V2'!C16</f>
        <v>NAS camera housing</v>
      </c>
      <c r="E60" s="4" t="str">
        <f>'BOM_(신조) HiNAS Con V2'!E16</f>
        <v>하우징</v>
      </c>
      <c r="F60" s="5">
        <f>'BOM_(신조) HiNAS Con V2'!I16</f>
        <v>1</v>
      </c>
      <c r="G60" s="4" t="str">
        <f>'BOM_(신조) HiNAS Con V2'!M16</f>
        <v>MRC</v>
      </c>
      <c r="H60" s="4" t="str">
        <f>'BOM_(신조) HiNAS Con V2'!O16</f>
        <v xml:space="preserve"> - </v>
      </c>
    </row>
    <row r="61" spans="1:8" x14ac:dyDescent="0.45">
      <c r="A61" s="112"/>
      <c r="B61" s="112"/>
      <c r="C61" s="13" t="str">
        <f>'BOM_(신조) HiNAS Con V2'!B17</f>
        <v>SC0016</v>
      </c>
      <c r="D61" s="4" t="str">
        <f>'BOM_(신조) HiNAS Con V2'!C17</f>
        <v>NAS Camera housing cable</v>
      </c>
      <c r="E61" s="4" t="str">
        <f>'BOM_(신조) HiNAS Con V2'!E17</f>
        <v xml:space="preserve">2세대 카메라하우징 케이블 </v>
      </c>
      <c r="F61" s="5">
        <f>'BOM_(신조) HiNAS Con V2'!I17</f>
        <v>6</v>
      </c>
      <c r="G61" s="4" t="str">
        <f>'BOM_(신조) HiNAS Con V2'!M17</f>
        <v>미림테크놀러지</v>
      </c>
      <c r="H61" s="4" t="str">
        <f>'BOM_(신조) HiNAS Con V2'!O17</f>
        <v xml:space="preserve"> - </v>
      </c>
    </row>
    <row r="62" spans="1:8" x14ac:dyDescent="0.45">
      <c r="A62" s="112"/>
      <c r="B62" s="112"/>
      <c r="C62" s="13" t="str">
        <f>'BOM_(신조) HiNAS Con V2'!B18</f>
        <v>SC0018</v>
      </c>
      <c r="D62" s="4" t="str">
        <f>'BOM_(신조) HiNAS Con V2'!C18</f>
        <v>EO Camera</v>
      </c>
      <c r="E62" s="4" t="str">
        <f>'BOM_(신조) HiNAS Con V2'!E18</f>
        <v>광학 카메라(4K)</v>
      </c>
      <c r="F62" s="5">
        <f>'BOM_(신조) HiNAS Con V2'!I18</f>
        <v>1</v>
      </c>
      <c r="G62" s="4" t="str">
        <f>'BOM_(신조) HiNAS Con V2'!M18</f>
        <v>아르게스마린</v>
      </c>
      <c r="H62" s="4" t="str">
        <f>'BOM_(신조) HiNAS Con V2'!O18</f>
        <v>w. IR Ip-board, EO glass, Receptacle harness, Waterproof cap</v>
      </c>
    </row>
    <row r="63" spans="1:8" x14ac:dyDescent="0.45">
      <c r="A63" s="112"/>
      <c r="B63" s="112"/>
      <c r="C63" s="13" t="str">
        <f>'BOM_(신조) HiNAS Con V2'!B19</f>
        <v>SC0002</v>
      </c>
      <c r="D63" s="4" t="str">
        <f>'BOM_(신조) HiNAS Con V2'!C19</f>
        <v>IR camera</v>
      </c>
      <c r="E63" s="4" t="str">
        <f>'BOM_(신조) HiNAS Con V2'!E19</f>
        <v>열화상 카메라</v>
      </c>
      <c r="F63" s="5">
        <f>'BOM_(신조) HiNAS Con V2'!I19</f>
        <v>3</v>
      </c>
      <c r="G63" s="4" t="str">
        <f>'BOM_(신조) HiNAS Con V2'!M19</f>
        <v>IRKEN/FLIR</v>
      </c>
      <c r="H63" s="4" t="str">
        <f>'BOM_(신조) HiNAS Con V2'!O19</f>
        <v>w. VPC KIT</v>
      </c>
    </row>
    <row r="64" spans="1:8" x14ac:dyDescent="0.45">
      <c r="A64" s="112"/>
      <c r="B64" s="112"/>
      <c r="C64" s="13" t="str">
        <f>'BOM_(신조) HiNAS Con V2'!B20</f>
        <v>SC0019</v>
      </c>
      <c r="D64" s="4" t="str">
        <f>'BOM_(신조) HiNAS Con V2'!C20</f>
        <v>IR camera window</v>
      </c>
      <c r="E64" s="4" t="str">
        <f>'BOM_(신조) HiNAS Con V2'!E20</f>
        <v>열화상 카메라 윈도우</v>
      </c>
      <c r="F64" s="5">
        <f>'BOM_(신조) HiNAS Con V2'!I20</f>
        <v>3</v>
      </c>
      <c r="G64" s="4" t="str">
        <f>'BOM_(신조) HiNAS Con V2'!M20</f>
        <v>센서캠</v>
      </c>
      <c r="H64" s="4" t="str">
        <f>'BOM_(신조) HiNAS Con V2'!O20</f>
        <v>2세대 용 (직경 45mm)</v>
      </c>
    </row>
    <row r="65" spans="1:8" x14ac:dyDescent="0.45">
      <c r="A65" s="112"/>
      <c r="B65" s="112"/>
      <c r="C65" s="13" t="str">
        <f>'BOM_(신조) HiNAS Con V2'!B21</f>
        <v>SZ0007</v>
      </c>
      <c r="D65" s="4" t="str">
        <f>'BOM_(신조) HiNAS Con V2'!C21</f>
        <v>Main rack</v>
      </c>
      <c r="E65" s="4" t="str">
        <f>'BOM_(신조) HiNAS Con V2'!E21</f>
        <v>서버/HUB 등 설치용 Rack</v>
      </c>
      <c r="F65" s="5">
        <f>'BOM_(신조) HiNAS Con V2'!I21</f>
        <v>1</v>
      </c>
      <c r="G65" s="4" t="str">
        <f>'BOM_(신조) HiNAS Con V2'!M21</f>
        <v>MRC</v>
      </c>
      <c r="H65" s="4" t="str">
        <f>'BOM_(신조) HiNAS Con V2'!O21</f>
        <v xml:space="preserve"> - </v>
      </c>
    </row>
    <row r="66" spans="1:8" x14ac:dyDescent="0.45">
      <c r="A66" s="112"/>
      <c r="B66" s="112"/>
      <c r="C66" s="13" t="str">
        <f>'BOM_(신조) HiNAS Con V2'!B22</f>
        <v>SB0002</v>
      </c>
      <c r="D66" s="4" t="str">
        <f>'BOM_(신조) HiNAS Con V2'!C22</f>
        <v>Network switch</v>
      </c>
      <c r="E66" s="4" t="str">
        <f>'BOM_(신조) HiNAS Con V2'!E22</f>
        <v>허브 (선급인증품)</v>
      </c>
      <c r="F66" s="5">
        <f>'BOM_(신조) HiNAS Con V2'!I22</f>
        <v>2</v>
      </c>
      <c r="G66" s="4" t="str">
        <f>'BOM_(신조) HiNAS Con V2'!M22</f>
        <v>여의시스템</v>
      </c>
      <c r="H66" s="4" t="str">
        <f>'BOM_(신조) HiNAS Con V2'!O22</f>
        <v xml:space="preserve"> - </v>
      </c>
    </row>
    <row r="67" spans="1:8" x14ac:dyDescent="0.45">
      <c r="A67" s="112"/>
      <c r="B67" s="112"/>
      <c r="C67" s="13" t="str">
        <f>'BOM_(신조) HiNAS Con V2'!B23</f>
        <v>SB0006</v>
      </c>
      <c r="D67" s="4" t="str">
        <f>'BOM_(신조) HiNAS Con V2'!C23</f>
        <v>Serial to Ethernet</v>
      </c>
      <c r="E67" s="4" t="str">
        <f>'BOM_(신조) HiNAS Con V2'!E23</f>
        <v>시리얼 통신을 LAN으로 변환</v>
      </c>
      <c r="F67" s="5">
        <f>'BOM_(신조) HiNAS Con V2'!I23</f>
        <v>2</v>
      </c>
      <c r="G67" s="4" t="str">
        <f>'BOM_(신조) HiNAS Con V2'!M23</f>
        <v>여의시스템</v>
      </c>
      <c r="H67" s="4" t="str">
        <f>'BOM_(신조) HiNAS Con V2'!O23</f>
        <v xml:space="preserve"> - </v>
      </c>
    </row>
    <row r="68" spans="1:8" x14ac:dyDescent="0.45">
      <c r="A68" s="112"/>
      <c r="B68" s="112"/>
      <c r="C68" s="13" t="str">
        <f>'BOM_(신조) HiNAS Con V2'!B24</f>
        <v>SB0013</v>
      </c>
      <c r="D68" s="4" t="str">
        <f>'BOM_(신조) HiNAS Con V2'!C24</f>
        <v>Actisense OPTO-4</v>
      </c>
      <c r="E68" s="4" t="str">
        <f>'BOM_(신조) HiNAS Con V2'!E24</f>
        <v>MOXA NPort5450i 케이블</v>
      </c>
      <c r="F68" s="5">
        <f>'BOM_(신조) HiNAS Con V2'!I24</f>
        <v>4</v>
      </c>
      <c r="G68" s="4" t="str">
        <f>'BOM_(신조) HiNAS Con V2'!M24</f>
        <v>마린크래프트</v>
      </c>
      <c r="H68" s="4" t="str">
        <f>'BOM_(신조) HiNAS Con V2'!O24</f>
        <v xml:space="preserve"> - </v>
      </c>
    </row>
    <row r="69" spans="1:8" x14ac:dyDescent="0.45">
      <c r="A69" s="112"/>
      <c r="B69" s="112"/>
      <c r="C69" s="13" t="str">
        <f>'BOM_(신조) HiNAS Con V2'!B25</f>
        <v>SB0004</v>
      </c>
      <c r="D69" s="4" t="str">
        <f>'BOM_(신조) HiNAS Con V2'!C25</f>
        <v>Firewall</v>
      </c>
      <c r="E69" s="4" t="str">
        <f>'BOM_(신조) HiNAS Con V2'!E25</f>
        <v>방화벽 (선급인증품)</v>
      </c>
      <c r="F69" s="5">
        <f>'BOM_(신조) HiNAS Con V2'!I25</f>
        <v>1</v>
      </c>
      <c r="G69" s="4" t="str">
        <f>'BOM_(신조) HiNAS Con V2'!M25</f>
        <v>MRC</v>
      </c>
      <c r="H69" s="4" t="str">
        <f>'BOM_(신조) HiNAS Con V2'!O25</f>
        <v xml:space="preserve"> - </v>
      </c>
    </row>
    <row r="70" spans="1:8" x14ac:dyDescent="0.45">
      <c r="A70" s="112"/>
      <c r="B70" s="112"/>
      <c r="C70" s="13" t="str">
        <f>'BOM_(신조) HiNAS Con V2'!B26</f>
        <v>SB0011</v>
      </c>
      <c r="D70" s="4" t="str">
        <f>'BOM_(신조) HiNAS Con V2'!C26</f>
        <v>Selector Switch</v>
      </c>
      <c r="E70" s="4" t="str">
        <f>'BOM_(신조) HiNAS Con V2'!E26</f>
        <v>HiNAS control 선택 스위치</v>
      </c>
      <c r="F70" s="5">
        <f>'BOM_(신조) HiNAS Con V2'!I26</f>
        <v>1</v>
      </c>
      <c r="G70" s="4" t="str">
        <f>'BOM_(신조) HiNAS Con V2'!M26</f>
        <v>MRC/YDK</v>
      </c>
      <c r="H70" s="4" t="str">
        <f>'BOM_(신조) HiNAS Con V2'!O26</f>
        <v>YOKOGAWA (w. DIMMER BOX)</v>
      </c>
    </row>
    <row r="71" spans="1:8" x14ac:dyDescent="0.45">
      <c r="A71" s="112"/>
      <c r="B71" s="112"/>
      <c r="C71" s="13" t="str">
        <f>'BOM_(신조) HiNAS Con V2'!B27</f>
        <v>SE0001</v>
      </c>
      <c r="D71" s="4" t="str">
        <f>'BOM_(신조) HiNAS Con V2'!C27</f>
        <v>UPS</v>
      </c>
      <c r="E71" s="4" t="str">
        <f>'BOM_(신조) HiNAS Con V2'!E27</f>
        <v>3kVA, 무정전 전원 공급, Rack type</v>
      </c>
      <c r="F71" s="5">
        <f>'BOM_(신조) HiNAS Con V2'!I27</f>
        <v>1</v>
      </c>
      <c r="G71" s="4" t="str">
        <f>'BOM_(신조) HiNAS Con V2'!M27</f>
        <v>기호티이에스</v>
      </c>
      <c r="H71" s="4" t="str">
        <f>'BOM_(신조) HiNAS Con V2'!O27</f>
        <v>마린필터, network card, 케이블 포함</v>
      </c>
    </row>
    <row r="72" spans="1:8" x14ac:dyDescent="0.45">
      <c r="A72" s="112"/>
      <c r="B72" s="112"/>
      <c r="C72" s="13" t="str">
        <f>'BOM_(신조) HiNAS Con V2'!B28</f>
        <v>SZ0019</v>
      </c>
      <c r="D72" s="4" t="str">
        <f>'BOM_(신조) HiNAS Con V2'!C28</f>
        <v>멀티탭</v>
      </c>
      <c r="E72" s="4" t="str">
        <f>'BOM_(신조) HiNAS Con V2'!E28</f>
        <v>UPS용</v>
      </c>
      <c r="F72" s="5">
        <f>'BOM_(신조) HiNAS Con V2'!I28</f>
        <v>2</v>
      </c>
      <c r="G72" s="4" t="str">
        <f>'BOM_(신조) HiNAS Con V2'!M28</f>
        <v>쿠팡</v>
      </c>
      <c r="H72" s="4" t="str">
        <f>'BOM_(신조) HiNAS Con V2'!O28</f>
        <v xml:space="preserve"> - </v>
      </c>
    </row>
    <row r="73" spans="1:8" x14ac:dyDescent="0.45">
      <c r="A73" s="112"/>
      <c r="B73" s="112"/>
      <c r="C73" s="13" t="str">
        <f>'BOM_(신조) HiNAS Con V2'!B29</f>
        <v>SZ0020</v>
      </c>
      <c r="D73" s="4" t="str">
        <f>'BOM_(신조) HiNAS Con V2'!C29</f>
        <v>C13-C14(MALE)</v>
      </c>
      <c r="E73" s="4" t="str">
        <f>'BOM_(신조) HiNAS Con V2'!E29</f>
        <v>UPS용</v>
      </c>
      <c r="F73" s="5">
        <f>'BOM_(신조) HiNAS Con V2'!I29</f>
        <v>3</v>
      </c>
      <c r="G73" s="4" t="str">
        <f>'BOM_(신조) HiNAS Con V2'!M29</f>
        <v>한주전자</v>
      </c>
      <c r="H73" s="4" t="str">
        <f>'BOM_(신조) HiNAS Con V2'!O29</f>
        <v xml:space="preserve"> - </v>
      </c>
    </row>
    <row r="74" spans="1:8" x14ac:dyDescent="0.45">
      <c r="A74" s="112"/>
      <c r="B74" s="112"/>
      <c r="C74" s="13" t="str">
        <f>'BOM_(신조) HiNAS Con V2'!B30</f>
        <v>SB0022</v>
      </c>
      <c r="D74" s="4" t="str">
        <f>'BOM_(신조) HiNAS Con V2'!C30</f>
        <v>Network PoE Switch</v>
      </c>
      <c r="E74" s="4" t="str">
        <f>'BOM_(신조) HiNAS Con V2'!E30</f>
        <v>IP 카메라에 전원 공급</v>
      </c>
      <c r="F74" s="5">
        <f>'BOM_(신조) HiNAS Con V2'!I30</f>
        <v>1</v>
      </c>
      <c r="G74" s="4" t="str">
        <f>'BOM_(신조) HiNAS Con V2'!M30</f>
        <v>여의시스템</v>
      </c>
      <c r="H74" s="4" t="str">
        <f>'BOM_(신조) HiNAS Con V2'!O30</f>
        <v xml:space="preserve"> - </v>
      </c>
    </row>
    <row r="75" spans="1:8" x14ac:dyDescent="0.45">
      <c r="A75" s="112"/>
      <c r="B75" s="112"/>
      <c r="C75" s="13" t="str">
        <f>'BOM_(신조) HiNAS Con V2'!B31</f>
        <v>SB0025</v>
      </c>
      <c r="D75" s="4" t="str">
        <f>'BOM_(신조) HiNAS Con V2'!C31</f>
        <v>UNO2-PS-1AC-24DC-240W</v>
      </c>
      <c r="E75" s="4" t="str">
        <f>'BOM_(신조) HiNAS Con V2'!E31</f>
        <v>POE SWITCH 용 240W 파워 서플라이</v>
      </c>
      <c r="F75" s="5">
        <f>'BOM_(신조) HiNAS Con V2'!I31</f>
        <v>1</v>
      </c>
      <c r="G75" s="4" t="str">
        <f>'BOM_(신조) HiNAS Con V2'!M31</f>
        <v>세종전자</v>
      </c>
      <c r="H75" s="4">
        <f>'BOM_(신조) HiNAS Con V2'!O31</f>
        <v>0</v>
      </c>
    </row>
    <row r="76" spans="1:8" x14ac:dyDescent="0.45">
      <c r="A76" s="109" t="s">
        <v>8</v>
      </c>
      <c r="B76" s="109" t="s">
        <v>36</v>
      </c>
      <c r="C76" s="3" t="str">
        <f>'BOM_(신조) HiNAS SVM'!B11</f>
        <v>SM0001</v>
      </c>
      <c r="D76" s="4" t="str">
        <f>'BOM_(신조) HiNAS SVM'!C11</f>
        <v>Monitor</v>
      </c>
      <c r="E76" s="4" t="str">
        <f>'BOM_(신조) HiNAS SVM'!E11</f>
        <v>27인치 모니터</v>
      </c>
      <c r="F76" s="5">
        <f>'BOM_(신조) HiNAS SVM'!I11</f>
        <v>1</v>
      </c>
      <c r="G76" s="4" t="str">
        <f>'BOM_(신조) HiNAS SVM'!M11</f>
        <v>MRC/테트라다인</v>
      </c>
      <c r="H76" s="4" t="str">
        <f>'BOM_(신조) HiNAS SVM'!O11</f>
        <v>RCU, RCU cable, RS485 cable, bracket 포함</v>
      </c>
    </row>
    <row r="77" spans="1:8" x14ac:dyDescent="0.45">
      <c r="A77" s="109"/>
      <c r="B77" s="109"/>
      <c r="C77" s="3" t="str">
        <f>'BOM_(신조) HiNAS SVM'!B12</f>
        <v>SS0001</v>
      </c>
      <c r="D77" s="4" t="str">
        <f>'BOM_(신조) HiNAS SVM'!C12</f>
        <v>Server</v>
      </c>
      <c r="E77" s="4" t="str">
        <f>'BOM_(신조) HiNAS SVM'!E12</f>
        <v>메인 서버</v>
      </c>
      <c r="F77" s="5">
        <f>'BOM_(신조) HiNAS SVM'!I12</f>
        <v>1</v>
      </c>
      <c r="G77" s="4" t="str">
        <f>'BOM_(신조) HiNAS SVM'!M12</f>
        <v>테트라다인</v>
      </c>
      <c r="H77" s="4" t="str">
        <f>'BOM_(신조) HiNAS SVM'!O12</f>
        <v xml:space="preserve"> - </v>
      </c>
    </row>
    <row r="78" spans="1:8" x14ac:dyDescent="0.45">
      <c r="A78" s="109"/>
      <c r="B78" s="109"/>
      <c r="C78" s="3" t="str">
        <f>'BOM_(신조) HiNAS SVM'!B13</f>
        <v>SC0006</v>
      </c>
      <c r="D78" s="4" t="str">
        <f>'BOM_(신조) HiNAS SVM'!C13</f>
        <v>IP camera</v>
      </c>
      <c r="E78" s="4" t="str">
        <f>'BOM_(신조) HiNAS SVM'!E13</f>
        <v>카메라</v>
      </c>
      <c r="F78" s="5">
        <f>'BOM_(신조) HiNAS SVM'!I13</f>
        <v>6</v>
      </c>
      <c r="G78" s="4" t="str">
        <f>'BOM_(신조) HiNAS SVM'!M13</f>
        <v>아르게스마린</v>
      </c>
      <c r="H78" s="4" t="str">
        <f>'BOM_(신조) HiNAS SVM'!O13</f>
        <v xml:space="preserve"> - </v>
      </c>
    </row>
    <row r="79" spans="1:8" x14ac:dyDescent="0.45">
      <c r="A79" s="109"/>
      <c r="B79" s="109"/>
      <c r="C79" s="3" t="str">
        <f>'BOM_(신조) HiNAS SVM'!B14</f>
        <v>SB0022</v>
      </c>
      <c r="D79" s="4" t="str">
        <f>'BOM_(신조) HiNAS SVM'!C14</f>
        <v>Network PoE Switch</v>
      </c>
      <c r="E79" s="4" t="str">
        <f>'BOM_(신조) HiNAS SVM'!E14</f>
        <v>IP 카메라에 전원 공급</v>
      </c>
      <c r="F79" s="5">
        <f>'BOM_(신조) HiNAS SVM'!I14</f>
        <v>1</v>
      </c>
      <c r="G79" s="4" t="str">
        <f>'BOM_(신조) HiNAS SVM'!M14</f>
        <v>여의시스템</v>
      </c>
      <c r="H79" s="4" t="str">
        <f>'BOM_(신조) HiNAS SVM'!O14</f>
        <v xml:space="preserve"> - </v>
      </c>
    </row>
    <row r="80" spans="1:8" x14ac:dyDescent="0.45">
      <c r="A80" s="109"/>
      <c r="B80" s="109"/>
      <c r="C80" s="3" t="str">
        <f>'BOM_(신조) HiNAS SVM'!B15</f>
        <v>SB0002</v>
      </c>
      <c r="D80" s="4" t="str">
        <f>'BOM_(신조) HiNAS SVM'!C15</f>
        <v>Network switch</v>
      </c>
      <c r="E80" s="4" t="str">
        <f>'BOM_(신조) HiNAS SVM'!E15</f>
        <v>허브 (선급인증품)</v>
      </c>
      <c r="F80" s="5">
        <f>'BOM_(신조) HiNAS SVM'!I15</f>
        <v>1</v>
      </c>
      <c r="G80" s="4" t="str">
        <f>'BOM_(신조) HiNAS SVM'!M15</f>
        <v>여의시스템</v>
      </c>
      <c r="H80" s="4" t="str">
        <f>'BOM_(신조) HiNAS SVM'!O15</f>
        <v xml:space="preserve"> - </v>
      </c>
    </row>
    <row r="81" spans="1:8" x14ac:dyDescent="0.45">
      <c r="A81" s="109"/>
      <c r="B81" s="109"/>
      <c r="C81" s="3" t="str">
        <f>'BOM_(신조) HiNAS SVM'!B16</f>
        <v>SZ0017</v>
      </c>
      <c r="D81" s="4" t="str">
        <f>'BOM_(신조) HiNAS SVM'!C16</f>
        <v>Junction Box</v>
      </c>
      <c r="E81" s="4" t="str">
        <f>'BOM_(신조) HiNAS SVM'!E16</f>
        <v>PoE Extender 용</v>
      </c>
      <c r="F81" s="5">
        <f>'BOM_(신조) HiNAS SVM'!I16</f>
        <v>1</v>
      </c>
      <c r="G81" s="4" t="str">
        <f>'BOM_(신조) HiNAS SVM'!M16</f>
        <v>MRC</v>
      </c>
      <c r="H81" s="4" t="str">
        <f>'BOM_(신조) HiNAS SVM'!O16</f>
        <v>명판 포함</v>
      </c>
    </row>
    <row r="82" spans="1:8" x14ac:dyDescent="0.45">
      <c r="A82" s="109"/>
      <c r="B82" s="109"/>
      <c r="C82" s="3" t="str">
        <f>'BOM_(신조) HiNAS SVM'!B17</f>
        <v>SB0021</v>
      </c>
      <c r="D82" s="4" t="str">
        <f>'BOM_(신조) HiNAS SVM'!C17</f>
        <v>PoE-Extender</v>
      </c>
      <c r="E82" s="4" t="str">
        <f>'BOM_(신조) HiNAS SVM'!E17</f>
        <v>LAN 통신 거리 연장</v>
      </c>
      <c r="F82" s="5">
        <f>'BOM_(신조) HiNAS SVM'!I17</f>
        <v>1</v>
      </c>
      <c r="G82" s="4" t="str">
        <f>'BOM_(신조) HiNAS SVM'!M17</f>
        <v>아르게스마린</v>
      </c>
      <c r="H82" s="4" t="str">
        <f>'BOM_(신조) HiNAS SVM'!O17</f>
        <v xml:space="preserve"> - </v>
      </c>
    </row>
    <row r="83" spans="1:8" x14ac:dyDescent="0.45">
      <c r="A83" s="109"/>
      <c r="B83" s="109"/>
      <c r="C83" s="3" t="str">
        <f>'BOM_(신조) HiNAS SVM'!B18</f>
        <v>SB0014</v>
      </c>
      <c r="D83" s="4" t="str">
        <f>'BOM_(신조) HiNAS SVM'!C18</f>
        <v>UNO2-PS-1AC-48DC-240W</v>
      </c>
      <c r="E83" s="4" t="str">
        <f>'BOM_(신조) HiNAS SVM'!E18</f>
        <v>PoE HUB용 240W 파워 서플라이</v>
      </c>
      <c r="F83" s="5">
        <f>'BOM_(신조) HiNAS SVM'!I18</f>
        <v>2</v>
      </c>
      <c r="G83" s="4" t="str">
        <f>'BOM_(신조) HiNAS SVM'!M18</f>
        <v>세종전자</v>
      </c>
      <c r="H83" s="4" t="str">
        <f>'BOM_(신조) HiNAS SVM'!O18</f>
        <v xml:space="preserve"> - </v>
      </c>
    </row>
    <row r="84" spans="1:8" x14ac:dyDescent="0.45">
      <c r="A84" s="109"/>
      <c r="B84" s="109"/>
      <c r="C84" s="3" t="str">
        <f>'BOM_(신조) HiNAS SVM'!B19</f>
        <v>SZ0002</v>
      </c>
      <c r="D84" s="4" t="str">
        <f>'BOM_(신조) HiNAS SVM'!C19</f>
        <v>Junction Box</v>
      </c>
      <c r="E84" s="4" t="str">
        <f>'BOM_(신조) HiNAS SVM'!E19</f>
        <v>LRP Injector용</v>
      </c>
      <c r="F84" s="5">
        <f>'BOM_(신조) HiNAS SVM'!I19</f>
        <v>5</v>
      </c>
      <c r="G84" s="4" t="str">
        <f>'BOM_(신조) HiNAS SVM'!M19</f>
        <v>MRC</v>
      </c>
      <c r="H84" s="4" t="str">
        <f>'BOM_(신조) HiNAS SVM'!O19</f>
        <v>명판 포함</v>
      </c>
    </row>
    <row r="85" spans="1:8" x14ac:dyDescent="0.45">
      <c r="A85" s="109"/>
      <c r="B85" s="109"/>
      <c r="C85" s="3" t="str">
        <f>'BOM_(신조) HiNAS SVM'!B20</f>
        <v>SZ0010</v>
      </c>
      <c r="D85" s="4" t="str">
        <f>'BOM_(신조) HiNAS SVM'!C20</f>
        <v>Junction Box</v>
      </c>
      <c r="E85" s="4" t="str">
        <f>'BOM_(신조) HiNAS SVM'!E20</f>
        <v>LRP Extender용</v>
      </c>
      <c r="F85" s="5">
        <f>'BOM_(신조) HiNAS SVM'!I20</f>
        <v>5</v>
      </c>
      <c r="G85" s="4" t="str">
        <f>'BOM_(신조) HiNAS SVM'!M20</f>
        <v>MRC</v>
      </c>
      <c r="H85" s="4" t="str">
        <f>'BOM_(신조) HiNAS SVM'!O20</f>
        <v>명판 포함</v>
      </c>
    </row>
    <row r="86" spans="1:8" x14ac:dyDescent="0.45">
      <c r="A86" s="109"/>
      <c r="B86" s="109"/>
      <c r="C86" s="3" t="str">
        <f>'BOM_(신조) HiNAS SVM'!B21</f>
        <v>SB0008</v>
      </c>
      <c r="D86" s="4" t="str">
        <f>'BOM_(신조) HiNAS SVM'!C21</f>
        <v>LRP</v>
      </c>
      <c r="E86" s="4" t="str">
        <f>'BOM_(신조) HiNAS SVM'!E21</f>
        <v>LAN 통신 거리 연장 및 전원공급</v>
      </c>
      <c r="F86" s="5">
        <f>'BOM_(신조) HiNAS SVM'!I21</f>
        <v>5</v>
      </c>
      <c r="G86" s="4" t="str">
        <f>'BOM_(신조) HiNAS SVM'!M21</f>
        <v>제씨테크</v>
      </c>
      <c r="H86" s="4" t="str">
        <f>'BOM_(신조) HiNAS SVM'!O21</f>
        <v>w. SMPS</v>
      </c>
    </row>
    <row r="87" spans="1:8" x14ac:dyDescent="0.45">
      <c r="A87" s="109"/>
      <c r="B87" s="109"/>
      <c r="C87" s="3" t="str">
        <f>'BOM_(신조) HiNAS SVM'!B22</f>
        <v>SB0015</v>
      </c>
      <c r="D87" s="4" t="str">
        <f>'BOM_(신조) HiNAS SVM'!C22</f>
        <v>UNO-PS-1AC-48DC-60W</v>
      </c>
      <c r="E87" s="4" t="str">
        <f>'BOM_(신조) HiNAS SVM'!E22</f>
        <v>LRP용 60W 파워 서플라이</v>
      </c>
      <c r="F87" s="5">
        <f>'BOM_(신조) HiNAS SVM'!I22</f>
        <v>6</v>
      </c>
      <c r="G87" s="4" t="str">
        <f>'BOM_(신조) HiNAS SVM'!M22</f>
        <v>세종전자</v>
      </c>
      <c r="H87" s="4" t="str">
        <f>'BOM_(신조) HiNAS SVM'!O22</f>
        <v xml:space="preserve"> - </v>
      </c>
    </row>
    <row r="88" spans="1:8" x14ac:dyDescent="0.45">
      <c r="A88" s="109"/>
      <c r="B88" s="109"/>
      <c r="C88" s="3" t="str">
        <f>'BOM_(신조) HiNAS SVM'!B23</f>
        <v>SZ0021</v>
      </c>
      <c r="D88" s="4" t="str">
        <f>'BOM_(신조) HiNAS SVM'!C23</f>
        <v>24V SMPS</v>
      </c>
      <c r="E88" s="4" t="str">
        <f>'BOM_(신조) HiNAS SVM'!E23</f>
        <v>Network Switch, Serial to Ethernet용</v>
      </c>
      <c r="F88" s="5">
        <f>'BOM_(신조) HiNAS SVM'!I23</f>
        <v>1</v>
      </c>
      <c r="G88" s="4" t="str">
        <f>'BOM_(신조) HiNAS SVM'!M23</f>
        <v>쿠팡</v>
      </c>
      <c r="H88" s="4" t="str">
        <f>'BOM_(신조) HiNAS SVM'!O23</f>
        <v xml:space="preserve"> - </v>
      </c>
    </row>
    <row r="89" spans="1:8" x14ac:dyDescent="0.45">
      <c r="A89" s="109"/>
      <c r="B89" s="109"/>
      <c r="C89" s="3" t="str">
        <f>'BOM_(신조) HiNAS SVM'!B24</f>
        <v>SE0003</v>
      </c>
      <c r="D89" s="4" t="str">
        <f>'BOM_(신조) HiNAS SVM'!C24</f>
        <v>UPS</v>
      </c>
      <c r="E89" s="4" t="str">
        <f>'BOM_(신조) HiNAS SVM'!E24</f>
        <v>1kVA, 무정전 전원 공급, Stand type</v>
      </c>
      <c r="F89" s="5">
        <f>'BOM_(신조) HiNAS SVM'!I24</f>
        <v>1</v>
      </c>
      <c r="G89" s="4" t="str">
        <f>'BOM_(신조) HiNAS SVM'!M24</f>
        <v>기호티이에스</v>
      </c>
      <c r="H89" s="4" t="str">
        <f>'BOM_(신조) HiNAS SVM'!O24</f>
        <v>마린필터, network card, 케이블 포함</v>
      </c>
    </row>
    <row r="90" spans="1:8" x14ac:dyDescent="0.45">
      <c r="A90" s="109"/>
      <c r="B90" s="109"/>
      <c r="C90" s="3" t="str">
        <f>'BOM_(신조) HiNAS SVM'!B25</f>
        <v>SZ0019</v>
      </c>
      <c r="D90" s="4" t="str">
        <f>'BOM_(신조) HiNAS SVM'!C25</f>
        <v>멀티탭</v>
      </c>
      <c r="E90" s="4" t="str">
        <f>'BOM_(신조) HiNAS SVM'!E25</f>
        <v>UPS용</v>
      </c>
      <c r="F90" s="5">
        <f>'BOM_(신조) HiNAS SVM'!I25</f>
        <v>2</v>
      </c>
      <c r="G90" s="4" t="str">
        <f>'BOM_(신조) HiNAS SVM'!M25</f>
        <v>쿠팡</v>
      </c>
      <c r="H90" s="4" t="str">
        <f>'BOM_(신조) HiNAS SVM'!O25</f>
        <v xml:space="preserve"> - </v>
      </c>
    </row>
    <row r="91" spans="1:8" x14ac:dyDescent="0.45">
      <c r="A91" s="109"/>
      <c r="B91" s="109"/>
      <c r="C91" s="3" t="str">
        <f>'BOM_(신조) HiNAS SVM'!B26</f>
        <v>SZ0020</v>
      </c>
      <c r="D91" s="4" t="str">
        <f>'BOM_(신조) HiNAS SVM'!C26</f>
        <v>C13-C14(MALE)</v>
      </c>
      <c r="E91" s="4" t="str">
        <f>'BOM_(신조) HiNAS SVM'!E26</f>
        <v>UPS용</v>
      </c>
      <c r="F91" s="5">
        <f>'BOM_(신조) HiNAS SVM'!I26</f>
        <v>3</v>
      </c>
      <c r="G91" s="4" t="str">
        <f>'BOM_(신조) HiNAS SVM'!M26</f>
        <v>한주전자</v>
      </c>
      <c r="H91" s="4" t="str">
        <f>'BOM_(신조) HiNAS SVM'!O26</f>
        <v xml:space="preserve"> - </v>
      </c>
    </row>
    <row r="92" spans="1:8" x14ac:dyDescent="0.45">
      <c r="A92" s="115" t="s">
        <v>37</v>
      </c>
      <c r="B92" s="115" t="s">
        <v>562</v>
      </c>
      <c r="C92" s="14" t="str">
        <f>'BOM_(개조) HiNAS Con SVM'!B11</f>
        <v>SM0001</v>
      </c>
      <c r="D92" s="4" t="str">
        <f>'BOM_(개조) HiNAS Con SVM'!C11</f>
        <v>Monitor</v>
      </c>
      <c r="E92" s="4" t="str">
        <f>'BOM_(개조) HiNAS Con SVM'!E11</f>
        <v>27인치 모니터</v>
      </c>
      <c r="F92" s="5">
        <f>'BOM_(개조) HiNAS Con SVM'!I11</f>
        <v>2</v>
      </c>
      <c r="G92" s="4" t="str">
        <f>'BOM_(개조) HiNAS Con SVM'!M11</f>
        <v>MRC/테트라다인</v>
      </c>
      <c r="H92" s="4" t="str">
        <f>'BOM_(개조) HiNAS Con SVM'!O11</f>
        <v>RCU, RCU cable, RS485 cable, bracket 포함</v>
      </c>
    </row>
    <row r="93" spans="1:8" x14ac:dyDescent="0.45">
      <c r="A93" s="115"/>
      <c r="B93" s="115"/>
      <c r="C93" s="14" t="str">
        <f>'BOM_(개조) HiNAS Con SVM'!B12</f>
        <v>SS0001</v>
      </c>
      <c r="D93" s="4" t="str">
        <f>'BOM_(개조) HiNAS Con SVM'!C12</f>
        <v>Server</v>
      </c>
      <c r="E93" s="4" t="str">
        <f>'BOM_(개조) HiNAS Con SVM'!E12</f>
        <v>메인 서버</v>
      </c>
      <c r="F93" s="5">
        <f>'BOM_(개조) HiNAS Con SVM'!I12</f>
        <v>3</v>
      </c>
      <c r="G93" s="4" t="str">
        <f>'BOM_(개조) HiNAS Con SVM'!M12</f>
        <v>테트라다인</v>
      </c>
      <c r="H93" s="4" t="str">
        <f>'BOM_(개조) HiNAS Con SVM'!O12</f>
        <v xml:space="preserve"> - </v>
      </c>
    </row>
    <row r="94" spans="1:8" x14ac:dyDescent="0.45">
      <c r="A94" s="115"/>
      <c r="B94" s="115"/>
      <c r="C94" s="14" t="str">
        <f>'BOM_(개조) HiNAS Con SVM'!B13</f>
        <v>SC0006</v>
      </c>
      <c r="D94" s="4" t="str">
        <f>'BOM_(개조) HiNAS Con SVM'!C13</f>
        <v>IP camera</v>
      </c>
      <c r="E94" s="4" t="str">
        <f>'BOM_(개조) HiNAS Con SVM'!E13</f>
        <v>카메라</v>
      </c>
      <c r="F94" s="5">
        <f>'BOM_(개조) HiNAS Con SVM'!I13</f>
        <v>6</v>
      </c>
      <c r="G94" s="4" t="str">
        <f>'BOM_(개조) HiNAS Con SVM'!M13</f>
        <v>아르게스마린</v>
      </c>
      <c r="H94" s="4" t="str">
        <f>'BOM_(개조) HiNAS Con SVM'!O13</f>
        <v xml:space="preserve"> - </v>
      </c>
    </row>
    <row r="95" spans="1:8" x14ac:dyDescent="0.45">
      <c r="A95" s="115"/>
      <c r="B95" s="115"/>
      <c r="C95" s="14" t="str">
        <f>'BOM_(개조) HiNAS Con SVM'!B14</f>
        <v>SB0002</v>
      </c>
      <c r="D95" s="4" t="str">
        <f>'BOM_(개조) HiNAS Con SVM'!C14</f>
        <v>Network switch</v>
      </c>
      <c r="E95" s="4" t="str">
        <f>'BOM_(개조) HiNAS Con SVM'!E14</f>
        <v>허브 (선급인증품)</v>
      </c>
      <c r="F95" s="5">
        <f>'BOM_(개조) HiNAS Con SVM'!I14</f>
        <v>3</v>
      </c>
      <c r="G95" s="4" t="str">
        <f>'BOM_(개조) HiNAS Con SVM'!M14</f>
        <v>여의시스템</v>
      </c>
      <c r="H95" s="4" t="str">
        <f>'BOM_(개조) HiNAS Con SVM'!O14</f>
        <v xml:space="preserve"> - </v>
      </c>
    </row>
    <row r="96" spans="1:8" x14ac:dyDescent="0.45">
      <c r="A96" s="115"/>
      <c r="B96" s="115"/>
      <c r="C96" s="14" t="str">
        <f>'BOM_(개조) HiNAS Con SVM'!B15</f>
        <v>SB0007</v>
      </c>
      <c r="D96" s="4" t="str">
        <f>'BOM_(개조) HiNAS Con SVM'!C15</f>
        <v>PoE HUB</v>
      </c>
      <c r="E96" s="4" t="str">
        <f>'BOM_(개조) HiNAS Con SVM'!E15</f>
        <v>IP 카메라에 전원 공급</v>
      </c>
      <c r="F96" s="5">
        <f>'BOM_(개조) HiNAS Con SVM'!I15</f>
        <v>2</v>
      </c>
      <c r="G96" s="4" t="str">
        <f>'BOM_(개조) HiNAS Con SVM'!M15</f>
        <v>제씨테크</v>
      </c>
      <c r="H96" s="4" t="str">
        <f>'BOM_(개조) HiNAS Con SVM'!O15</f>
        <v>w. SMPS</v>
      </c>
    </row>
    <row r="97" spans="1:8" x14ac:dyDescent="0.45">
      <c r="A97" s="115"/>
      <c r="B97" s="115"/>
      <c r="C97" s="14" t="str">
        <f>'BOM_(개조) HiNAS Con SVM'!B16</f>
        <v>SB0008</v>
      </c>
      <c r="D97" s="4" t="str">
        <f>'BOM_(개조) HiNAS Con SVM'!C16</f>
        <v>LRP</v>
      </c>
      <c r="E97" s="4" t="str">
        <f>'BOM_(개조) HiNAS Con SVM'!E16</f>
        <v>LAN 통신 거리 연장 및 전원공급</v>
      </c>
      <c r="F97" s="5">
        <f>'BOM_(개조) HiNAS Con SVM'!I16</f>
        <v>6</v>
      </c>
      <c r="G97" s="4" t="str">
        <f>'BOM_(개조) HiNAS Con SVM'!M16</f>
        <v>제씨테크</v>
      </c>
      <c r="H97" s="4" t="str">
        <f>'BOM_(개조) HiNAS Con SVM'!O16</f>
        <v>w. SMPS</v>
      </c>
    </row>
    <row r="98" spans="1:8" x14ac:dyDescent="0.45">
      <c r="A98" s="115"/>
      <c r="B98" s="115"/>
      <c r="C98" s="14" t="str">
        <f>'BOM_(개조) HiNAS Con SVM'!B17</f>
        <v>SZ0001</v>
      </c>
      <c r="D98" s="4" t="str">
        <f>'BOM_(개조) HiNAS Con SVM'!C17</f>
        <v>Junction Box</v>
      </c>
      <c r="E98" s="4" t="str">
        <f>'BOM_(개조) HiNAS Con SVM'!E17</f>
        <v>PoE Hub 용</v>
      </c>
      <c r="F98" s="5">
        <f>'BOM_(개조) HiNAS Con SVM'!I17</f>
        <v>2</v>
      </c>
      <c r="G98" s="4" t="str">
        <f>'BOM_(개조) HiNAS Con SVM'!M17</f>
        <v>MRC</v>
      </c>
      <c r="H98" s="4" t="str">
        <f>'BOM_(개조) HiNAS Con SVM'!O17</f>
        <v>명판 포함</v>
      </c>
    </row>
    <row r="99" spans="1:8" x14ac:dyDescent="0.45">
      <c r="A99" s="115"/>
      <c r="B99" s="115"/>
      <c r="C99" s="14" t="str">
        <f>'BOM_(개조) HiNAS Con SVM'!B18</f>
        <v>SZ0002</v>
      </c>
      <c r="D99" s="4" t="str">
        <f>'BOM_(개조) HiNAS Con SVM'!C18</f>
        <v>Junction Box</v>
      </c>
      <c r="E99" s="4" t="str">
        <f>'BOM_(개조) HiNAS Con SVM'!E18</f>
        <v>LRP Injector용</v>
      </c>
      <c r="F99" s="5">
        <f>'BOM_(개조) HiNAS Con SVM'!I18</f>
        <v>10</v>
      </c>
      <c r="G99" s="4" t="str">
        <f>'BOM_(개조) HiNAS Con SVM'!M18</f>
        <v>MRC</v>
      </c>
      <c r="H99" s="4" t="str">
        <f>'BOM_(개조) HiNAS Con SVM'!O18</f>
        <v>명판 포함</v>
      </c>
    </row>
    <row r="100" spans="1:8" x14ac:dyDescent="0.45">
      <c r="A100" s="115"/>
      <c r="B100" s="115"/>
      <c r="C100" s="14" t="str">
        <f>'BOM_(개조) HiNAS Con SVM'!B19</f>
        <v>SZ0003</v>
      </c>
      <c r="D100" s="4" t="str">
        <f>'BOM_(개조) HiNAS Con SVM'!C19</f>
        <v>Junction Box</v>
      </c>
      <c r="E100" s="4" t="str">
        <f>'BOM_(개조) HiNAS Con SVM'!E19</f>
        <v>방폭형, LRP Extender용</v>
      </c>
      <c r="F100" s="5">
        <f>'BOM_(개조) HiNAS Con SVM'!I19</f>
        <v>2</v>
      </c>
      <c r="G100" s="4" t="str">
        <f>'BOM_(개조) HiNAS Con SVM'!M19</f>
        <v>MRC</v>
      </c>
      <c r="H100" s="4" t="str">
        <f>'BOM_(개조) HiNAS Con SVM'!O19</f>
        <v>-</v>
      </c>
    </row>
    <row r="101" spans="1:8" x14ac:dyDescent="0.45">
      <c r="A101" s="115"/>
      <c r="B101" s="115"/>
      <c r="C101" s="14" t="str">
        <f>'BOM_(개조) HiNAS Con SVM'!B20</f>
        <v>SB0022</v>
      </c>
      <c r="D101" s="4" t="str">
        <f>'BOM_(개조) HiNAS Con SVM'!C20</f>
        <v>Network PoE Switch</v>
      </c>
      <c r="E101" s="4" t="str">
        <f>'BOM_(개조) HiNAS Con SVM'!E20</f>
        <v>IP 카메라에 전원 공급</v>
      </c>
      <c r="F101" s="5">
        <f>'BOM_(개조) HiNAS Con SVM'!I20</f>
        <v>1</v>
      </c>
      <c r="G101" s="4" t="str">
        <f>'BOM_(개조) HiNAS Con SVM'!M20</f>
        <v>여의시스템</v>
      </c>
      <c r="H101" s="4" t="str">
        <f>'BOM_(개조) HiNAS Con SVM'!O20</f>
        <v xml:space="preserve"> - </v>
      </c>
    </row>
    <row r="102" spans="1:8" x14ac:dyDescent="0.45">
      <c r="A102" s="115"/>
      <c r="B102" s="115"/>
      <c r="C102" s="14" t="str">
        <f>'BOM_(개조) HiNAS Con SVM'!B21</f>
        <v>SB0006</v>
      </c>
      <c r="D102" s="4" t="str">
        <f>'BOM_(개조) HiNAS Con SVM'!C21</f>
        <v>Serial to Ethernet</v>
      </c>
      <c r="E102" s="4" t="str">
        <f>'BOM_(개조) HiNAS Con SVM'!E21</f>
        <v>시리얼 통신을 LAN으로 변환</v>
      </c>
      <c r="F102" s="5">
        <f>'BOM_(개조) HiNAS Con SVM'!I21</f>
        <v>1</v>
      </c>
      <c r="G102" s="4" t="str">
        <f>'BOM_(개조) HiNAS Con SVM'!M21</f>
        <v>여의시스템</v>
      </c>
      <c r="H102" s="4" t="str">
        <f>'BOM_(개조) HiNAS Con SVM'!O21</f>
        <v xml:space="preserve"> - </v>
      </c>
    </row>
    <row r="103" spans="1:8" x14ac:dyDescent="0.45">
      <c r="A103" s="115"/>
      <c r="B103" s="115"/>
      <c r="C103" s="14" t="str">
        <f>'BOM_(개조) HiNAS Con SVM'!B22</f>
        <v>SZ0005</v>
      </c>
      <c r="D103" s="4" t="str">
        <f>'BOM_(개조) HiNAS Con SVM'!C22</f>
        <v>keyboard &amp; mouse</v>
      </c>
      <c r="E103" s="4" t="str">
        <f>'BOM_(개조) HiNAS Con SVM'!E22</f>
        <v>입력기기</v>
      </c>
      <c r="F103" s="5">
        <f>'BOM_(개조) HiNAS Con SVM'!I22</f>
        <v>2</v>
      </c>
      <c r="G103" s="4" t="str">
        <f>'BOM_(개조) HiNAS Con SVM'!M22</f>
        <v>MRC</v>
      </c>
      <c r="H103" s="4" t="str">
        <f>'BOM_(개조) HiNAS Con SVM'!O22</f>
        <v xml:space="preserve"> - </v>
      </c>
    </row>
    <row r="104" spans="1:8" x14ac:dyDescent="0.45">
      <c r="A104" s="115"/>
      <c r="B104" s="115"/>
      <c r="C104" s="14" t="str">
        <f>'BOM_(개조) HiNAS Con SVM'!B23</f>
        <v>SC0004</v>
      </c>
      <c r="D104" s="4" t="str">
        <f>'BOM_(개조) HiNAS Con SVM'!C23</f>
        <v>NAS camera housing</v>
      </c>
      <c r="E104" s="4" t="str">
        <f>'BOM_(개조) HiNAS Con SVM'!E23</f>
        <v>하우징</v>
      </c>
      <c r="F104" s="5">
        <f>'BOM_(개조) HiNAS Con SVM'!I23</f>
        <v>1</v>
      </c>
      <c r="G104" s="4" t="str">
        <f>'BOM_(개조) HiNAS Con SVM'!M23</f>
        <v>MRC</v>
      </c>
      <c r="H104" s="4" t="str">
        <f>'BOM_(개조) HiNAS Con SVM'!O23</f>
        <v xml:space="preserve"> - </v>
      </c>
    </row>
    <row r="105" spans="1:8" x14ac:dyDescent="0.45">
      <c r="A105" s="115"/>
      <c r="B105" s="115"/>
      <c r="C105" s="14" t="str">
        <f>'BOM_(개조) HiNAS Con SVM'!B24</f>
        <v>SC0010</v>
      </c>
      <c r="D105" s="4" t="str">
        <f>'BOM_(개조) HiNAS Con SVM'!C24</f>
        <v>EO Camera</v>
      </c>
      <c r="E105" s="4" t="str">
        <f>'BOM_(개조) HiNAS Con SVM'!E24</f>
        <v>광학 카메라(4K)</v>
      </c>
      <c r="F105" s="5">
        <f>'BOM_(개조) HiNAS Con SVM'!I24</f>
        <v>3</v>
      </c>
      <c r="G105" s="4" t="str">
        <f>'BOM_(개조) HiNAS Con SVM'!M24</f>
        <v>사이더스/e-con</v>
      </c>
      <c r="H105" s="4" t="str">
        <f>'BOM_(개조) HiNAS Con SVM'!O24</f>
        <v>w. GMSL cable</v>
      </c>
    </row>
    <row r="106" spans="1:8" x14ac:dyDescent="0.45">
      <c r="A106" s="115"/>
      <c r="B106" s="115"/>
      <c r="C106" s="14" t="str">
        <f>'BOM_(개조) HiNAS Con SVM'!B25</f>
        <v>SC0002</v>
      </c>
      <c r="D106" s="4" t="str">
        <f>'BOM_(개조) HiNAS Con SVM'!C25</f>
        <v>IR camera</v>
      </c>
      <c r="E106" s="4" t="str">
        <f>'BOM_(개조) HiNAS Con SVM'!E25</f>
        <v>열화상 카메라</v>
      </c>
      <c r="F106" s="5">
        <f>'BOM_(개조) HiNAS Con SVM'!I25</f>
        <v>3</v>
      </c>
      <c r="G106" s="4" t="str">
        <f>'BOM_(개조) HiNAS Con SVM'!M25</f>
        <v>IRKEN/FLIR</v>
      </c>
      <c r="H106" s="4" t="str">
        <f>'BOM_(개조) HiNAS Con SVM'!O25</f>
        <v>w. VPC KIT</v>
      </c>
    </row>
    <row r="107" spans="1:8" x14ac:dyDescent="0.45">
      <c r="A107" s="115"/>
      <c r="B107" s="115"/>
      <c r="C107" s="14" t="str">
        <f>'BOM_(개조) HiNAS Con SVM'!B26</f>
        <v>SC0003</v>
      </c>
      <c r="D107" s="4" t="str">
        <f>'BOM_(개조) HiNAS Con SVM'!C26</f>
        <v>IR camera window</v>
      </c>
      <c r="E107" s="4" t="str">
        <f>'BOM_(개조) HiNAS Con SVM'!E26</f>
        <v>열화상 카메라 윈도우</v>
      </c>
      <c r="F107" s="5">
        <f>'BOM_(개조) HiNAS Con SVM'!I26</f>
        <v>3</v>
      </c>
      <c r="G107" s="4" t="str">
        <f>'BOM_(개조) HiNAS Con SVM'!M26</f>
        <v>센서캠</v>
      </c>
      <c r="H107" s="4" t="str">
        <f>'BOM_(개조) HiNAS Con SVM'!O26</f>
        <v>1세대 용 (직경 42mm)</v>
      </c>
    </row>
    <row r="108" spans="1:8" x14ac:dyDescent="0.45">
      <c r="A108" s="115"/>
      <c r="B108" s="115"/>
      <c r="C108" s="14" t="str">
        <f>'BOM_(개조) HiNAS Con SVM'!B27</f>
        <v>SC0005</v>
      </c>
      <c r="D108" s="4" t="str">
        <f>'BOM_(개조) HiNAS Con SVM'!C27</f>
        <v>NAS junction box</v>
      </c>
      <c r="E108" s="4" t="str">
        <f>'BOM_(개조) HiNAS Con SVM'!E27</f>
        <v>정션박스</v>
      </c>
      <c r="F108" s="5">
        <f>'BOM_(개조) HiNAS Con SVM'!I27</f>
        <v>1</v>
      </c>
      <c r="G108" s="4" t="str">
        <f>'BOM_(개조) HiNAS Con SVM'!M27</f>
        <v>MRC</v>
      </c>
      <c r="H108" s="4" t="str">
        <f>'BOM_(개조) HiNAS Con SVM'!O27</f>
        <v xml:space="preserve"> - </v>
      </c>
    </row>
    <row r="109" spans="1:8" x14ac:dyDescent="0.45">
      <c r="A109" s="115"/>
      <c r="B109" s="115"/>
      <c r="C109" s="14" t="str">
        <f>'BOM_(개조) HiNAS Con SVM'!B28</f>
        <v>SS0003</v>
      </c>
      <c r="D109" s="4" t="str">
        <f>'BOM_(개조) HiNAS Con SVM'!C28</f>
        <v>Single Board Computer</v>
      </c>
      <c r="E109" s="4" t="str">
        <f>'BOM_(개조) HiNAS Con SVM'!E28</f>
        <v>카메라와 서버 연동</v>
      </c>
      <c r="F109" s="5">
        <f>'BOM_(개조) HiNAS Con SVM'!I28</f>
        <v>2</v>
      </c>
      <c r="G109" s="4" t="str">
        <f>'BOM_(개조) HiNAS Con SVM'!M28</f>
        <v>사이더스/e-con</v>
      </c>
      <c r="H109" s="4" t="str">
        <f>'BOM_(개조) HiNAS Con SVM'!O28</f>
        <v xml:space="preserve"> - </v>
      </c>
    </row>
    <row r="110" spans="1:8" x14ac:dyDescent="0.45">
      <c r="A110" s="115"/>
      <c r="B110" s="115"/>
      <c r="C110" s="14" t="str">
        <f>'BOM_(개조) HiNAS Con SVM'!B29</f>
        <v>SZ0012</v>
      </c>
      <c r="D110" s="4" t="str">
        <f>'BOM_(개조) HiNAS Con SVM'!C29</f>
        <v>SMPS</v>
      </c>
      <c r="E110" s="4" t="str">
        <f>'BOM_(개조) HiNAS Con SVM'!E29</f>
        <v>Single Board Computer  전원 공급</v>
      </c>
      <c r="F110" s="5">
        <f>'BOM_(개조) HiNAS Con SVM'!I29</f>
        <v>6</v>
      </c>
      <c r="G110" s="4" t="str">
        <f>'BOM_(개조) HiNAS Con SVM'!M29</f>
        <v>파워캅</v>
      </c>
      <c r="H110" s="4" t="str">
        <f>'BOM_(개조) HiNAS Con SVM'!O29</f>
        <v xml:space="preserve"> - </v>
      </c>
    </row>
    <row r="111" spans="1:8" x14ac:dyDescent="0.45">
      <c r="A111" s="115"/>
      <c r="B111" s="115"/>
      <c r="C111" s="14" t="str">
        <f>'BOM_(개조) HiNAS Con SVM'!B30</f>
        <v>SZ0014</v>
      </c>
      <c r="D111" s="4" t="str">
        <f>'BOM_(개조) HiNAS Con SVM'!C30</f>
        <v>EMI/EMC filter</v>
      </c>
      <c r="E111" s="4" t="str">
        <f>'BOM_(개조) HiNAS Con SVM'!E30</f>
        <v>정션박스 전자파 차폐용</v>
      </c>
      <c r="F111" s="5">
        <f>'BOM_(개조) HiNAS Con SVM'!I30</f>
        <v>7</v>
      </c>
      <c r="G111" s="4" t="str">
        <f>'BOM_(개조) HiNAS Con SVM'!M30</f>
        <v>오키</v>
      </c>
      <c r="H111" s="4" t="str">
        <f>'BOM_(개조) HiNAS Con SVM'!O30</f>
        <v xml:space="preserve"> - </v>
      </c>
    </row>
    <row r="112" spans="1:8" x14ac:dyDescent="0.45">
      <c r="A112" s="115"/>
      <c r="B112" s="115"/>
      <c r="C112" s="14" t="str">
        <f>'BOM_(개조) HiNAS Con SVM'!B31</f>
        <v>SE0003</v>
      </c>
      <c r="D112" s="4" t="str">
        <f>'BOM_(개조) HiNAS Con SVM'!C31</f>
        <v>UPS</v>
      </c>
      <c r="E112" s="4" t="str">
        <f>'BOM_(개조) HiNAS Con SVM'!E31</f>
        <v>1kVA, 무정전 전원 공급, Stand type</v>
      </c>
      <c r="F112" s="5">
        <f>'BOM_(개조) HiNAS Con SVM'!I31</f>
        <v>1</v>
      </c>
      <c r="G112" s="4" t="str">
        <f>'BOM_(개조) HiNAS Con SVM'!M31</f>
        <v>기호티이에스</v>
      </c>
      <c r="H112" s="4" t="str">
        <f>'BOM_(개조) HiNAS Con SVM'!O31</f>
        <v>마린필터, network card, 케이블 포함</v>
      </c>
    </row>
    <row r="113" spans="1:8" x14ac:dyDescent="0.45">
      <c r="A113" s="115"/>
      <c r="B113" s="115"/>
      <c r="C113" s="14" t="str">
        <f>'BOM_(개조) HiNAS Con SVM'!B32</f>
        <v>SZ0019</v>
      </c>
      <c r="D113" s="4" t="str">
        <f>'BOM_(개조) HiNAS Con SVM'!C32</f>
        <v>멀티탭</v>
      </c>
      <c r="E113" s="4" t="str">
        <f>'BOM_(개조) HiNAS Con SVM'!E32</f>
        <v>UPS용</v>
      </c>
      <c r="F113" s="5">
        <f>'BOM_(개조) HiNAS Con SVM'!I32</f>
        <v>4</v>
      </c>
      <c r="G113" s="4" t="str">
        <f>'BOM_(개조) HiNAS Con SVM'!M32</f>
        <v>쿠팡</v>
      </c>
      <c r="H113" s="4" t="str">
        <f>'BOM_(개조) HiNAS Con SVM'!O32</f>
        <v xml:space="preserve"> - </v>
      </c>
    </row>
    <row r="114" spans="1:8" x14ac:dyDescent="0.45">
      <c r="A114" s="115"/>
      <c r="B114" s="115"/>
      <c r="C114" s="14" t="str">
        <f>'BOM_(개조) HiNAS Con SVM'!B33</f>
        <v>SZ0020</v>
      </c>
      <c r="D114" s="4" t="str">
        <f>'BOM_(개조) HiNAS Con SVM'!C33</f>
        <v>C13-C14(MALE)</v>
      </c>
      <c r="E114" s="4" t="str">
        <f>'BOM_(개조) HiNAS Con SVM'!E33</f>
        <v>UPS용</v>
      </c>
      <c r="F114" s="5">
        <f>'BOM_(개조) HiNAS Con SVM'!I33</f>
        <v>5</v>
      </c>
      <c r="G114" s="4" t="str">
        <f>'BOM_(개조) HiNAS Con SVM'!M33</f>
        <v>한주전자</v>
      </c>
      <c r="H114" s="4" t="str">
        <f>'BOM_(개조) HiNAS Con SVM'!O33</f>
        <v xml:space="preserve"> - </v>
      </c>
    </row>
    <row r="115" spans="1:8" x14ac:dyDescent="0.45">
      <c r="A115" s="115"/>
      <c r="B115" s="115"/>
      <c r="C115" s="14" t="str">
        <f>'BOM_(개조) HiNAS Con SVM'!B34</f>
        <v>SB0011</v>
      </c>
      <c r="D115" s="4" t="str">
        <f>'BOM_(개조) HiNAS Con SVM'!C34</f>
        <v>Selector Switch</v>
      </c>
      <c r="E115" s="4" t="str">
        <f>'BOM_(개조) HiNAS Con SVM'!E34</f>
        <v>HiNAS control 선택 스위치</v>
      </c>
      <c r="F115" s="5">
        <f>'BOM_(개조) HiNAS Con SVM'!I34</f>
        <v>1</v>
      </c>
      <c r="G115" s="4" t="str">
        <f>'BOM_(개조) HiNAS Con SVM'!M34</f>
        <v>MRC/YDK</v>
      </c>
      <c r="H115" s="4" t="str">
        <f>'BOM_(개조) HiNAS Con SVM'!O34</f>
        <v>YOKOGAWA (w. DIMMER BOX)</v>
      </c>
    </row>
    <row r="116" spans="1:8" x14ac:dyDescent="0.45">
      <c r="A116" s="115"/>
      <c r="B116" s="115"/>
      <c r="C116" s="14" t="str">
        <f>'BOM_(개조) HiNAS Con SVM'!B35</f>
        <v>SZ0004</v>
      </c>
      <c r="D116" s="4" t="str">
        <f>'BOM_(개조) HiNAS Con SVM'!C35</f>
        <v>AP</v>
      </c>
      <c r="E116" s="4" t="str">
        <f>'BOM_(개조) HiNAS Con SVM'!E35</f>
        <v>무선 공유기</v>
      </c>
      <c r="F116" s="5">
        <f>'BOM_(개조) HiNAS Con SVM'!I35</f>
        <v>2</v>
      </c>
      <c r="G116" s="4" t="str">
        <f>'BOM_(개조) HiNAS Con SVM'!M35</f>
        <v>쿠팡</v>
      </c>
      <c r="H116" s="4" t="str">
        <f>'BOM_(개조) HiNAS Con SVM'!O35</f>
        <v xml:space="preserve"> - </v>
      </c>
    </row>
    <row r="117" spans="1:8" x14ac:dyDescent="0.45">
      <c r="A117" s="115"/>
      <c r="B117" s="115"/>
      <c r="C117" s="14" t="str">
        <f>'BOM_(개조) HiNAS Con SVM'!B36</f>
        <v>SM0005</v>
      </c>
      <c r="D117" s="4" t="str">
        <f>'BOM_(개조) HiNAS Con SVM'!C36</f>
        <v>Tablet PC</v>
      </c>
      <c r="E117" s="4" t="str">
        <f>'BOM_(개조) HiNAS Con SVM'!E36</f>
        <v>Portable 모니터</v>
      </c>
      <c r="F117" s="5">
        <f>'BOM_(개조) HiNAS Con SVM'!I36</f>
        <v>2</v>
      </c>
      <c r="G117" s="4" t="str">
        <f>'BOM_(개조) HiNAS Con SVM'!M36</f>
        <v>컴퓨존</v>
      </c>
      <c r="H117" s="4" t="str">
        <f>'BOM_(개조) HiNAS Con SVM'!O36</f>
        <v>COVER CASE, POWER ADAPTER 포함</v>
      </c>
    </row>
    <row r="118" spans="1:8" x14ac:dyDescent="0.45">
      <c r="A118" s="116" t="s">
        <v>37</v>
      </c>
      <c r="B118" s="116" t="s">
        <v>35</v>
      </c>
      <c r="C118" s="15" t="str">
        <f>'BOM_(개조) HiNAS Control'!B11</f>
        <v>SM0001</v>
      </c>
      <c r="D118" s="4" t="str">
        <f>'BOM_(개조) HiNAS Control'!C11</f>
        <v>Monitor</v>
      </c>
      <c r="E118" s="4" t="str">
        <f>'BOM_(개조) HiNAS Control'!E11</f>
        <v>27인치 모니터</v>
      </c>
      <c r="F118" s="5">
        <f>'BOM_(개조) HiNAS Control'!I11</f>
        <v>1</v>
      </c>
      <c r="G118" s="4" t="str">
        <f>'BOM_(개조) HiNAS Control'!M11</f>
        <v>MRC/테트라다인</v>
      </c>
      <c r="H118" s="4" t="str">
        <f>'BOM_(개조) HiNAS Control'!O11</f>
        <v>RCU, RCU cable, RS485 cable, bracket 포함</v>
      </c>
    </row>
    <row r="119" spans="1:8" x14ac:dyDescent="0.45">
      <c r="A119" s="116"/>
      <c r="B119" s="116"/>
      <c r="C119" s="15" t="str">
        <f>'BOM_(개조) HiNAS Control'!B12</f>
        <v>SS0001</v>
      </c>
      <c r="D119" s="4" t="str">
        <f>'BOM_(개조) HiNAS Control'!C12</f>
        <v>Server</v>
      </c>
      <c r="E119" s="4" t="str">
        <f>'BOM_(개조) HiNAS Control'!E12</f>
        <v>메인 서버</v>
      </c>
      <c r="F119" s="5">
        <f>'BOM_(개조) HiNAS Control'!I12</f>
        <v>2</v>
      </c>
      <c r="G119" s="4" t="str">
        <f>'BOM_(개조) HiNAS Control'!M12</f>
        <v>테트라다인</v>
      </c>
      <c r="H119" s="4" t="str">
        <f>'BOM_(개조) HiNAS Control'!O12</f>
        <v xml:space="preserve"> - </v>
      </c>
    </row>
    <row r="120" spans="1:8" x14ac:dyDescent="0.45">
      <c r="A120" s="116"/>
      <c r="B120" s="116"/>
      <c r="C120" s="15" t="str">
        <f>'BOM_(개조) HiNAS Control'!B13</f>
        <v>SS0003</v>
      </c>
      <c r="D120" s="4" t="str">
        <f>'BOM_(개조) HiNAS Control'!C13</f>
        <v>Single Board Computer</v>
      </c>
      <c r="E120" s="4" t="str">
        <f>'BOM_(개조) HiNAS Control'!E13</f>
        <v>카메라와 서버 연동</v>
      </c>
      <c r="F120" s="5">
        <f>'BOM_(개조) HiNAS Control'!I13</f>
        <v>1</v>
      </c>
      <c r="G120" s="4" t="str">
        <f>'BOM_(개조) HiNAS Control'!M13</f>
        <v>사이더스/e-con</v>
      </c>
      <c r="H120" s="4" t="str">
        <f>'BOM_(개조) HiNAS Control'!O13</f>
        <v xml:space="preserve"> - </v>
      </c>
    </row>
    <row r="121" spans="1:8" x14ac:dyDescent="0.45">
      <c r="A121" s="116"/>
      <c r="B121" s="116"/>
      <c r="C121" s="15" t="str">
        <f>'BOM_(개조) HiNAS Control'!B14</f>
        <v>SC0010</v>
      </c>
      <c r="D121" s="4" t="str">
        <f>'BOM_(개조) HiNAS Control'!C14</f>
        <v>EO Camera</v>
      </c>
      <c r="E121" s="4" t="str">
        <f>'BOM_(개조) HiNAS Control'!E14</f>
        <v>광학 카메라(4K)</v>
      </c>
      <c r="F121" s="5">
        <f>'BOM_(개조) HiNAS Control'!I14</f>
        <v>3</v>
      </c>
      <c r="G121" s="4" t="str">
        <f>'BOM_(개조) HiNAS Control'!M14</f>
        <v>사이더스/e-con</v>
      </c>
      <c r="H121" s="4" t="str">
        <f>'BOM_(개조) HiNAS Control'!O14</f>
        <v>w. GMSL cable</v>
      </c>
    </row>
    <row r="122" spans="1:8" x14ac:dyDescent="0.45">
      <c r="A122" s="116"/>
      <c r="B122" s="116"/>
      <c r="C122" s="15" t="str">
        <f>'BOM_(개조) HiNAS Control'!B15</f>
        <v>SC0002</v>
      </c>
      <c r="D122" s="4" t="str">
        <f>'BOM_(개조) HiNAS Control'!C15</f>
        <v>IR camera</v>
      </c>
      <c r="E122" s="4" t="str">
        <f>'BOM_(개조) HiNAS Control'!E15</f>
        <v>열화상 카메라</v>
      </c>
      <c r="F122" s="5">
        <f>'BOM_(개조) HiNAS Control'!I15</f>
        <v>3</v>
      </c>
      <c r="G122" s="4" t="str">
        <f>'BOM_(개조) HiNAS Control'!M15</f>
        <v>IRKEN/FLIR</v>
      </c>
      <c r="H122" s="4" t="str">
        <f>'BOM_(개조) HiNAS Control'!O15</f>
        <v>w. VPC KIT</v>
      </c>
    </row>
    <row r="123" spans="1:8" x14ac:dyDescent="0.45">
      <c r="A123" s="116"/>
      <c r="B123" s="116"/>
      <c r="C123" s="15" t="str">
        <f>'BOM_(개조) HiNAS Control'!B16</f>
        <v>SC0003</v>
      </c>
      <c r="D123" s="4" t="str">
        <f>'BOM_(개조) HiNAS Control'!C16</f>
        <v>IR camera window</v>
      </c>
      <c r="E123" s="4" t="str">
        <f>'BOM_(개조) HiNAS Control'!E16</f>
        <v>열화상 카메라 윈도우</v>
      </c>
      <c r="F123" s="5">
        <f>'BOM_(개조) HiNAS Control'!I16</f>
        <v>3</v>
      </c>
      <c r="G123" s="4" t="str">
        <f>'BOM_(개조) HiNAS Control'!M16</f>
        <v>센서캠</v>
      </c>
      <c r="H123" s="4" t="str">
        <f>'BOM_(개조) HiNAS Control'!O16</f>
        <v>1세대 용 (직경 42mm)</v>
      </c>
    </row>
    <row r="124" spans="1:8" x14ac:dyDescent="0.45">
      <c r="A124" s="116"/>
      <c r="B124" s="116"/>
      <c r="C124" s="15" t="str">
        <f>'BOM_(개조) HiNAS Control'!B17</f>
        <v>SC0004</v>
      </c>
      <c r="D124" s="4" t="str">
        <f>'BOM_(개조) HiNAS Control'!C17</f>
        <v>NAS camera housing</v>
      </c>
      <c r="E124" s="4" t="str">
        <f>'BOM_(개조) HiNAS Control'!E17</f>
        <v>하우징</v>
      </c>
      <c r="F124" s="5">
        <f>'BOM_(개조) HiNAS Control'!I17</f>
        <v>1</v>
      </c>
      <c r="G124" s="4" t="str">
        <f>'BOM_(개조) HiNAS Control'!M17</f>
        <v>MRC</v>
      </c>
      <c r="H124" s="4" t="str">
        <f>'BOM_(개조) HiNAS Control'!O17</f>
        <v xml:space="preserve"> - </v>
      </c>
    </row>
    <row r="125" spans="1:8" x14ac:dyDescent="0.45">
      <c r="A125" s="116"/>
      <c r="B125" s="116"/>
      <c r="C125" s="15" t="str">
        <f>'BOM_(개조) HiNAS Control'!B18</f>
        <v>SC0005</v>
      </c>
      <c r="D125" s="4" t="str">
        <f>'BOM_(개조) HiNAS Control'!C18</f>
        <v>NAS junction box</v>
      </c>
      <c r="E125" s="4" t="str">
        <f>'BOM_(개조) HiNAS Control'!E18</f>
        <v>정션박스</v>
      </c>
      <c r="F125" s="5">
        <f>'BOM_(개조) HiNAS Control'!I18</f>
        <v>1</v>
      </c>
      <c r="G125" s="4" t="str">
        <f>'BOM_(개조) HiNAS Control'!M18</f>
        <v>MRC</v>
      </c>
      <c r="H125" s="4" t="str">
        <f>'BOM_(개조) HiNAS Control'!O18</f>
        <v xml:space="preserve"> - </v>
      </c>
    </row>
    <row r="126" spans="1:8" x14ac:dyDescent="0.45">
      <c r="A126" s="116"/>
      <c r="B126" s="116"/>
      <c r="C126" s="15" t="str">
        <f>'BOM_(개조) HiNAS Control'!B19</f>
        <v>SB0002</v>
      </c>
      <c r="D126" s="4" t="str">
        <f>'BOM_(개조) HiNAS Control'!C19</f>
        <v>Network switch</v>
      </c>
      <c r="E126" s="4" t="str">
        <f>'BOM_(개조) HiNAS Control'!E19</f>
        <v>허브 (선급인증품)</v>
      </c>
      <c r="F126" s="5">
        <f>'BOM_(개조) HiNAS Control'!I19</f>
        <v>2</v>
      </c>
      <c r="G126" s="4" t="str">
        <f>'BOM_(개조) HiNAS Control'!M19</f>
        <v>여의시스템</v>
      </c>
      <c r="H126" s="4" t="str">
        <f>'BOM_(개조) HiNAS Control'!O19</f>
        <v xml:space="preserve"> - </v>
      </c>
    </row>
    <row r="127" spans="1:8" x14ac:dyDescent="0.45">
      <c r="A127" s="116"/>
      <c r="B127" s="116"/>
      <c r="C127" s="15" t="str">
        <f>'BOM_(개조) HiNAS Control'!B20</f>
        <v>SB0004</v>
      </c>
      <c r="D127" s="4" t="str">
        <f>'BOM_(개조) HiNAS Control'!C20</f>
        <v>Firewall</v>
      </c>
      <c r="E127" s="4" t="str">
        <f>'BOM_(개조) HiNAS Control'!E20</f>
        <v>방화벽 (선급인증품)</v>
      </c>
      <c r="F127" s="5">
        <f>'BOM_(개조) HiNAS Control'!I20</f>
        <v>1</v>
      </c>
      <c r="G127" s="4" t="str">
        <f>'BOM_(개조) HiNAS Control'!M20</f>
        <v>MRC</v>
      </c>
      <c r="H127" s="4" t="str">
        <f>'BOM_(개조) HiNAS Control'!O20</f>
        <v xml:space="preserve"> - </v>
      </c>
    </row>
    <row r="128" spans="1:8" x14ac:dyDescent="0.45">
      <c r="A128" s="116"/>
      <c r="B128" s="116"/>
      <c r="C128" s="15" t="str">
        <f>'BOM_(개조) HiNAS Control'!B21</f>
        <v>SB0006</v>
      </c>
      <c r="D128" s="4" t="str">
        <f>'BOM_(개조) HiNAS Control'!C21</f>
        <v>Serial to Ethernet</v>
      </c>
      <c r="E128" s="4" t="str">
        <f>'BOM_(개조) HiNAS Control'!E21</f>
        <v>시리얼 통신을 LAN으로 변환</v>
      </c>
      <c r="F128" s="5">
        <f>'BOM_(개조) HiNAS Control'!I21</f>
        <v>1</v>
      </c>
      <c r="G128" s="4" t="str">
        <f>'BOM_(개조) HiNAS Control'!M21</f>
        <v>여의시스템</v>
      </c>
      <c r="H128" s="4" t="str">
        <f>'BOM_(개조) HiNAS Control'!O21</f>
        <v xml:space="preserve"> - </v>
      </c>
    </row>
    <row r="129" spans="1:8" x14ac:dyDescent="0.45">
      <c r="A129" s="116"/>
      <c r="B129" s="116"/>
      <c r="C129" s="15" t="str">
        <f>'BOM_(개조) HiNAS Control'!B22</f>
        <v>SB0011</v>
      </c>
      <c r="D129" s="4" t="str">
        <f>'BOM_(개조) HiNAS Control'!C22</f>
        <v>Selector Switch</v>
      </c>
      <c r="E129" s="4" t="str">
        <f>'BOM_(개조) HiNAS Control'!E22</f>
        <v>HiNAS control 선택 스위치</v>
      </c>
      <c r="F129" s="5">
        <f>'BOM_(개조) HiNAS Control'!I22</f>
        <v>1</v>
      </c>
      <c r="G129" s="4" t="str">
        <f>'BOM_(개조) HiNAS Control'!M22</f>
        <v>MRC/YDK</v>
      </c>
      <c r="H129" s="4" t="str">
        <f>'BOM_(개조) HiNAS Control'!O22</f>
        <v>YOKOGAWA (w. DIMMER BOX)</v>
      </c>
    </row>
    <row r="130" spans="1:8" x14ac:dyDescent="0.45">
      <c r="A130" s="116"/>
      <c r="B130" s="116"/>
      <c r="C130" s="15" t="str">
        <f>'BOM_(개조) HiNAS Control'!B23</f>
        <v>SE0003</v>
      </c>
      <c r="D130" s="4" t="str">
        <f>'BOM_(개조) HiNAS Control'!C23</f>
        <v>UPS</v>
      </c>
      <c r="E130" s="4" t="str">
        <f>'BOM_(개조) HiNAS Control'!E23</f>
        <v>1kVA, 무정전 전원 공급, Stand type</v>
      </c>
      <c r="F130" s="5">
        <f>'BOM_(개조) HiNAS Control'!I23</f>
        <v>1</v>
      </c>
      <c r="G130" s="4" t="str">
        <f>'BOM_(개조) HiNAS Control'!M23</f>
        <v>기호티이에스</v>
      </c>
      <c r="H130" s="4" t="str">
        <f>'BOM_(개조) HiNAS Control'!O23</f>
        <v>마린필터, network card, 케이블 포함</v>
      </c>
    </row>
    <row r="131" spans="1:8" x14ac:dyDescent="0.45">
      <c r="A131" s="116"/>
      <c r="B131" s="116"/>
      <c r="C131" s="15" t="str">
        <f>'BOM_(개조) HiNAS Control'!B24</f>
        <v>SZ0005</v>
      </c>
      <c r="D131" s="4" t="str">
        <f>'BOM_(개조) HiNAS Control'!C24</f>
        <v>keyboard &amp; mouse</v>
      </c>
      <c r="E131" s="4" t="str">
        <f>'BOM_(개조) HiNAS Control'!E24</f>
        <v>입력기기</v>
      </c>
      <c r="F131" s="5">
        <f>'BOM_(개조) HiNAS Control'!I24</f>
        <v>1</v>
      </c>
      <c r="G131" s="4" t="str">
        <f>'BOM_(개조) HiNAS Control'!M24</f>
        <v>MRC</v>
      </c>
      <c r="H131" s="4" t="str">
        <f>'BOM_(개조) HiNAS Control'!O24</f>
        <v xml:space="preserve"> - </v>
      </c>
    </row>
    <row r="132" spans="1:8" x14ac:dyDescent="0.45">
      <c r="A132" s="116"/>
      <c r="B132" s="116"/>
      <c r="C132" s="15" t="str">
        <f>'BOM_(개조) HiNAS Control'!B25</f>
        <v>SZ0004</v>
      </c>
      <c r="D132" s="4" t="str">
        <f>'BOM_(개조) HiNAS Control'!C25</f>
        <v>AP</v>
      </c>
      <c r="E132" s="4" t="str">
        <f>'BOM_(개조) HiNAS Control'!E25</f>
        <v>무선 공유기</v>
      </c>
      <c r="F132" s="5">
        <f>'BOM_(개조) HiNAS Control'!I25</f>
        <v>1</v>
      </c>
      <c r="G132" s="4" t="str">
        <f>'BOM_(개조) HiNAS Control'!M25</f>
        <v>쿠팡</v>
      </c>
      <c r="H132" s="4" t="str">
        <f>'BOM_(개조) HiNAS Control'!O25</f>
        <v xml:space="preserve"> - </v>
      </c>
    </row>
    <row r="133" spans="1:8" x14ac:dyDescent="0.45">
      <c r="A133" s="116"/>
      <c r="B133" s="116"/>
      <c r="C133" s="15" t="str">
        <f>'BOM_(개조) HiNAS Control'!B26</f>
        <v>SM0005</v>
      </c>
      <c r="D133" s="4" t="str">
        <f>'BOM_(개조) HiNAS Control'!C26</f>
        <v>Tablet PC</v>
      </c>
      <c r="E133" s="4" t="str">
        <f>'BOM_(개조) HiNAS Control'!E26</f>
        <v>Portable 모니터</v>
      </c>
      <c r="F133" s="5">
        <f>'BOM_(개조) HiNAS Control'!I26</f>
        <v>1</v>
      </c>
      <c r="G133" s="4" t="str">
        <f>'BOM_(개조) HiNAS Control'!M26</f>
        <v>컴퓨존</v>
      </c>
      <c r="H133" s="4" t="str">
        <f>'BOM_(개조) HiNAS Control'!O26</f>
        <v>COVER CASE, POWER ADAPTER 포함</v>
      </c>
    </row>
  </sheetData>
  <mergeCells count="16">
    <mergeCell ref="A92:A117"/>
    <mergeCell ref="B92:B117"/>
    <mergeCell ref="A118:A133"/>
    <mergeCell ref="B118:B133"/>
    <mergeCell ref="A33:A54"/>
    <mergeCell ref="B33:B54"/>
    <mergeCell ref="A55:A75"/>
    <mergeCell ref="B55:B75"/>
    <mergeCell ref="A76:A91"/>
    <mergeCell ref="B76:B91"/>
    <mergeCell ref="A2:A16"/>
    <mergeCell ref="B2:B16"/>
    <mergeCell ref="P2:Q2"/>
    <mergeCell ref="A17:A32"/>
    <mergeCell ref="B17:B32"/>
    <mergeCell ref="K3:K13"/>
  </mergeCells>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B097F-85BD-4358-A900-737DF54AD588}">
  <sheetPr>
    <tabColor rgb="FFFF0000"/>
    <pageSetUpPr fitToPage="1"/>
  </sheetPr>
  <dimension ref="A2:P28"/>
  <sheetViews>
    <sheetView showGridLines="0" view="pageBreakPreview" zoomScale="80" zoomScaleNormal="100" zoomScaleSheetLayoutView="80" workbookViewId="0">
      <selection activeCell="S5" sqref="S5"/>
    </sheetView>
  </sheetViews>
  <sheetFormatPr defaultColWidth="10" defaultRowHeight="17" x14ac:dyDescent="0.45"/>
  <cols>
    <col min="1" max="1" width="6.4140625" style="16" customWidth="1"/>
    <col min="2" max="2" width="13.5" style="16" customWidth="1"/>
    <col min="3" max="3" width="2.08203125" style="16" customWidth="1"/>
    <col min="4" max="5" width="20" style="16" customWidth="1"/>
    <col min="6" max="8" width="10" style="16"/>
    <col min="9" max="9" width="10" style="17"/>
    <col min="10" max="10" width="7" style="16" bestFit="1" customWidth="1"/>
    <col min="11" max="12" width="10" style="16"/>
    <col min="13" max="13" width="16.1640625" style="16" customWidth="1"/>
    <col min="14" max="14" width="14.5" style="16" customWidth="1"/>
    <col min="15" max="15" width="25.5" style="16" customWidth="1"/>
    <col min="16" max="16384" width="10" style="16"/>
  </cols>
  <sheetData>
    <row r="2" spans="1:16" ht="30" x14ac:dyDescent="0.45">
      <c r="A2" s="117" t="s">
        <v>38</v>
      </c>
      <c r="B2" s="117"/>
      <c r="C2" s="117"/>
      <c r="D2" s="117"/>
      <c r="E2" s="117"/>
      <c r="F2" s="117"/>
      <c r="G2" s="117"/>
      <c r="H2" s="117"/>
      <c r="I2" s="117"/>
      <c r="J2" s="117"/>
      <c r="K2" s="117"/>
      <c r="L2" s="117"/>
      <c r="M2" s="117"/>
      <c r="N2" s="117"/>
      <c r="O2" s="117"/>
    </row>
    <row r="3" spans="1:16" x14ac:dyDescent="0.45">
      <c r="C3" s="16" t="s">
        <v>39</v>
      </c>
    </row>
    <row r="4" spans="1:16" ht="21" customHeight="1" x14ac:dyDescent="0.45">
      <c r="A4" s="18" t="s">
        <v>40</v>
      </c>
      <c r="B4" s="19"/>
      <c r="C4" s="19" t="s">
        <v>41</v>
      </c>
      <c r="D4" s="20" t="s">
        <v>42</v>
      </c>
      <c r="E4" s="21"/>
      <c r="F4" s="21"/>
      <c r="G4" s="21"/>
      <c r="H4" s="21"/>
      <c r="I4" s="22"/>
      <c r="J4" s="21"/>
      <c r="K4" s="21"/>
      <c r="L4" s="21"/>
      <c r="M4" s="21"/>
      <c r="N4" s="21"/>
      <c r="O4" s="21"/>
    </row>
    <row r="5" spans="1:16" ht="21" customHeight="1" x14ac:dyDescent="0.45">
      <c r="A5" s="21" t="s">
        <v>43</v>
      </c>
      <c r="C5" s="16" t="s">
        <v>41</v>
      </c>
      <c r="D5" s="16" t="s">
        <v>13</v>
      </c>
      <c r="E5" s="21"/>
      <c r="F5" s="21"/>
      <c r="G5" s="21"/>
      <c r="H5" s="21"/>
      <c r="I5" s="22"/>
      <c r="J5" s="21"/>
      <c r="K5" s="21"/>
      <c r="L5" s="21"/>
      <c r="M5" s="21"/>
      <c r="N5" s="21"/>
      <c r="O5" s="21"/>
    </row>
    <row r="6" spans="1:16" ht="21" customHeight="1" x14ac:dyDescent="0.45">
      <c r="A6" s="21" t="s">
        <v>44</v>
      </c>
      <c r="C6" s="16" t="s">
        <v>41</v>
      </c>
      <c r="E6" s="21"/>
      <c r="F6" s="21"/>
      <c r="G6" s="21"/>
      <c r="H6" s="21"/>
      <c r="I6" s="22"/>
      <c r="J6" s="21"/>
      <c r="K6" s="21"/>
      <c r="L6" s="21"/>
      <c r="M6" s="21"/>
      <c r="N6" s="21"/>
      <c r="O6" s="21"/>
    </row>
    <row r="7" spans="1:16" ht="21" customHeight="1" x14ac:dyDescent="0.45">
      <c r="A7" s="21" t="s">
        <v>45</v>
      </c>
      <c r="C7" s="16" t="s">
        <v>41</v>
      </c>
      <c r="E7" s="21"/>
      <c r="F7" s="21" t="s">
        <v>39</v>
      </c>
      <c r="G7" s="21"/>
      <c r="H7" s="21"/>
      <c r="I7" s="22"/>
      <c r="J7" s="21"/>
      <c r="K7" s="21"/>
      <c r="L7" s="21"/>
      <c r="M7" s="21"/>
      <c r="N7" s="21"/>
      <c r="O7" s="21"/>
    </row>
    <row r="8" spans="1:16" ht="21" customHeight="1" x14ac:dyDescent="0.45">
      <c r="A8" s="21" t="s">
        <v>46</v>
      </c>
      <c r="E8" s="21"/>
      <c r="F8" s="21"/>
      <c r="G8" s="21"/>
      <c r="H8" s="21"/>
      <c r="I8" s="22"/>
      <c r="J8" s="21"/>
      <c r="K8" s="21"/>
      <c r="L8" s="21"/>
      <c r="M8" s="21"/>
      <c r="N8" s="21"/>
      <c r="O8" s="21"/>
    </row>
    <row r="9" spans="1:16" ht="6" customHeight="1" x14ac:dyDescent="0.45"/>
    <row r="10" spans="1:16" ht="34" x14ac:dyDescent="0.45">
      <c r="A10" s="23" t="s">
        <v>47</v>
      </c>
      <c r="B10" s="24" t="s">
        <v>48</v>
      </c>
      <c r="C10" s="118" t="s">
        <v>49</v>
      </c>
      <c r="D10" s="119"/>
      <c r="E10" s="24" t="s">
        <v>50</v>
      </c>
      <c r="F10" s="25" t="s">
        <v>51</v>
      </c>
      <c r="G10" s="24" t="s">
        <v>52</v>
      </c>
      <c r="H10" s="24" t="s">
        <v>53</v>
      </c>
      <c r="I10" s="24" t="s">
        <v>54</v>
      </c>
      <c r="J10" s="24" t="s">
        <v>55</v>
      </c>
      <c r="K10" s="24" t="s">
        <v>57</v>
      </c>
      <c r="L10" s="24" t="s">
        <v>58</v>
      </c>
      <c r="M10" s="24" t="s">
        <v>60</v>
      </c>
      <c r="N10" s="24" t="s">
        <v>61</v>
      </c>
      <c r="O10" s="24" t="s">
        <v>62</v>
      </c>
    </row>
    <row r="11" spans="1:16" ht="25.25" customHeight="1" x14ac:dyDescent="0.45">
      <c r="A11" s="26">
        <v>1</v>
      </c>
      <c r="B11" s="27" t="s">
        <v>63</v>
      </c>
      <c r="C11" s="28" t="str">
        <f>IFERROR(VLOOKUP($B11,자재리스트!$B$4:$M$92,2,FALSE),)</f>
        <v>Monitor</v>
      </c>
      <c r="D11" s="27"/>
      <c r="E11" s="27" t="str">
        <f>IFERROR(VLOOKUP($B11,자재리스트!$B$4:$M$92,4,FALSE),)</f>
        <v>27인치 모니터</v>
      </c>
      <c r="F11" s="27" t="str">
        <f>IFERROR(VLOOKUP($B11,자재리스트!$B$4:$M$92,5,FALSE),)</f>
        <v xml:space="preserve"> - </v>
      </c>
      <c r="G11" s="27" t="str">
        <f>IFERROR(VLOOKUP($B11,자재리스트!$B$4:$M$92,6,FALSE),)</f>
        <v>한국</v>
      </c>
      <c r="H11" s="27" t="str">
        <f>IFERROR(VLOOKUP($B11,자재리스트!$B$4:$M$92,7,FALSE),)</f>
        <v>개</v>
      </c>
      <c r="I11" s="29">
        <v>1</v>
      </c>
      <c r="J11" s="29" t="str">
        <f>IFERROR(VLOOKUP($B11,자재리스트!$B$4:$M$92,8,FALSE),)</f>
        <v>KRW</v>
      </c>
      <c r="K11" s="29">
        <f>IFERROR(VLOOKUP($B11,자재리스트!$B$4:$M$92,9,FALSE),)</f>
        <v>3020000</v>
      </c>
      <c r="L11" s="29">
        <f>I11*K11</f>
        <v>3020000</v>
      </c>
      <c r="M11" s="27" t="str">
        <f>IFERROR(VLOOKUP($B11,자재리스트!$B$4:$M$92,10,FALSE),)</f>
        <v>MRC/테트라다인</v>
      </c>
      <c r="N11" s="27" t="str">
        <f>IFERROR(VLOOKUP($B11,자재리스트!$B$4:$M$92,11,FALSE),)</f>
        <v>거래명세서</v>
      </c>
      <c r="O11" s="27" t="str">
        <f>IFERROR(VLOOKUP($B11,자재리스트!$B$4:$M$92,12,FALSE),)</f>
        <v>RCU, RCU cable, RS485 cable, bracket 포함</v>
      </c>
      <c r="P11" s="30"/>
    </row>
    <row r="12" spans="1:16" ht="25.25" customHeight="1" x14ac:dyDescent="0.45">
      <c r="A12" s="26">
        <v>2</v>
      </c>
      <c r="B12" s="27" t="s">
        <v>64</v>
      </c>
      <c r="C12" s="28" t="str">
        <f>IFERROR(VLOOKUP($B12,자재리스트!$B$4:$M$92,2,FALSE),)</f>
        <v>Server</v>
      </c>
      <c r="D12" s="27"/>
      <c r="E12" s="27" t="str">
        <f>IFERROR(VLOOKUP($B12,자재리스트!$B$4:$M$92,4,FALSE),)</f>
        <v>메인 서버</v>
      </c>
      <c r="F12" s="27" t="str">
        <f>IFERROR(VLOOKUP($B12,자재리스트!$B$4:$M$92,5,FALSE),)</f>
        <v xml:space="preserve"> - </v>
      </c>
      <c r="G12" s="27" t="str">
        <f>IFERROR(VLOOKUP($B12,자재리스트!$B$4:$M$92,6,FALSE),)</f>
        <v>중국</v>
      </c>
      <c r="H12" s="27" t="str">
        <f>IFERROR(VLOOKUP($B12,자재리스트!$B$4:$M$92,7,FALSE),)</f>
        <v>개</v>
      </c>
      <c r="I12" s="29">
        <v>1</v>
      </c>
      <c r="J12" s="29" t="str">
        <f>IFERROR(VLOOKUP($B12,자재리스트!$B$4:$M$92,8,FALSE),)</f>
        <v>KRW</v>
      </c>
      <c r="K12" s="29">
        <f>IFERROR(VLOOKUP($B12,자재리스트!$B$4:$M$92,9,FALSE),)</f>
        <v>3320000</v>
      </c>
      <c r="L12" s="29">
        <f t="shared" ref="L12:L25" si="0">I12*K12</f>
        <v>3320000</v>
      </c>
      <c r="M12" s="27" t="str">
        <f>IFERROR(VLOOKUP($B12,자재리스트!$B$4:$M$92,10,FALSE),)</f>
        <v>테트라다인</v>
      </c>
      <c r="N12" s="27" t="str">
        <f>IFERROR(VLOOKUP($B12,자재리스트!$B$4:$M$92,11,FALSE),)</f>
        <v>거래명세서</v>
      </c>
      <c r="O12" s="27" t="str">
        <f>IFERROR(VLOOKUP($B12,자재리스트!$B$4:$M$92,12,FALSE),)</f>
        <v xml:space="preserve"> - </v>
      </c>
    </row>
    <row r="13" spans="1:16" ht="25.25" customHeight="1" x14ac:dyDescent="0.45">
      <c r="A13" s="26">
        <v>3</v>
      </c>
      <c r="B13" s="27" t="s">
        <v>65</v>
      </c>
      <c r="C13" s="28" t="str">
        <f>IFERROR(VLOOKUP($B13,자재리스트!$B$4:$M$92,2,FALSE),)</f>
        <v>Trackball Mouse</v>
      </c>
      <c r="D13" s="27"/>
      <c r="E13" s="27" t="str">
        <f>IFERROR(VLOOKUP($B13,자재리스트!$B$4:$M$92,4,FALSE),)</f>
        <v>마우스</v>
      </c>
      <c r="F13" s="27" t="str">
        <f>IFERROR(VLOOKUP($B13,자재리스트!$B$4:$M$92,5,FALSE),)</f>
        <v xml:space="preserve"> - </v>
      </c>
      <c r="G13" s="27" t="str">
        <f>IFERROR(VLOOKUP($B13,자재리스트!$B$4:$M$92,6,FALSE),)</f>
        <v>한국</v>
      </c>
      <c r="H13" s="27" t="str">
        <f>IFERROR(VLOOKUP($B13,자재리스트!$B$4:$M$92,7,FALSE),)</f>
        <v>개</v>
      </c>
      <c r="I13" s="29">
        <v>2</v>
      </c>
      <c r="J13" s="29" t="str">
        <f>IFERROR(VLOOKUP($B13,자재리스트!$B$4:$M$92,8,FALSE),)</f>
        <v>KRW</v>
      </c>
      <c r="K13" s="29">
        <f>IFERROR(VLOOKUP($B13,자재리스트!$B$4:$M$92,9,FALSE),)</f>
        <v>95000</v>
      </c>
      <c r="L13" s="29">
        <f t="shared" si="0"/>
        <v>190000</v>
      </c>
      <c r="M13" s="27" t="str">
        <f>IFERROR(VLOOKUP($B13,자재리스트!$B$4:$M$92,10,FALSE),)</f>
        <v>쿠팡</v>
      </c>
      <c r="N13" s="27" t="str">
        <f>IFERROR(VLOOKUP($B13,자재리스트!$B$4:$M$92,11,FALSE),)</f>
        <v>거래명세서</v>
      </c>
      <c r="O13" s="27" t="str">
        <f>IFERROR(VLOOKUP($B13,자재리스트!$B$4:$M$92,12,FALSE),)</f>
        <v xml:space="preserve"> - </v>
      </c>
    </row>
    <row r="14" spans="1:16" ht="25.25" customHeight="1" x14ac:dyDescent="0.45">
      <c r="A14" s="26">
        <v>4</v>
      </c>
      <c r="B14" s="27" t="s">
        <v>66</v>
      </c>
      <c r="C14" s="28" t="str">
        <f>IFERROR(VLOOKUP($B14,자재리스트!$B$4:$M$92,2,FALSE),)</f>
        <v>NAS camera housing</v>
      </c>
      <c r="D14" s="27"/>
      <c r="E14" s="27" t="str">
        <f>IFERROR(VLOOKUP($B14,자재리스트!$B$4:$M$92,4,FALSE),)</f>
        <v>하우징</v>
      </c>
      <c r="F14" s="27" t="str">
        <f>IFERROR(VLOOKUP($B14,자재리스트!$B$4:$M$92,5,FALSE),)</f>
        <v xml:space="preserve"> - </v>
      </c>
      <c r="G14" s="27" t="str">
        <f>IFERROR(VLOOKUP($B14,자재리스트!$B$4:$M$92,6,FALSE),)</f>
        <v>한국</v>
      </c>
      <c r="H14" s="27" t="str">
        <f>IFERROR(VLOOKUP($B14,자재리스트!$B$4:$M$92,7,FALSE),)</f>
        <v>개</v>
      </c>
      <c r="I14" s="29">
        <v>1</v>
      </c>
      <c r="J14" s="29" t="str">
        <f>IFERROR(VLOOKUP($B14,자재리스트!$B$4:$M$92,8,FALSE),)</f>
        <v>KRW</v>
      </c>
      <c r="K14" s="29">
        <f>IFERROR(VLOOKUP($B14,자재리스트!$B$4:$M$92,9,FALSE),)</f>
        <v>4300000</v>
      </c>
      <c r="L14" s="29">
        <f>I14*K14</f>
        <v>4300000</v>
      </c>
      <c r="M14" s="27" t="str">
        <f>IFERROR(VLOOKUP($B14,자재리스트!$B$4:$M$92,10,FALSE),)</f>
        <v>MRC</v>
      </c>
      <c r="N14" s="27" t="str">
        <f>IFERROR(VLOOKUP($B14,자재리스트!$B$4:$M$92,11,FALSE),)</f>
        <v>거래명세서</v>
      </c>
      <c r="O14" s="27" t="str">
        <f>IFERROR(VLOOKUP($B14,자재리스트!$B$4:$M$92,12,FALSE),)</f>
        <v xml:space="preserve"> - </v>
      </c>
    </row>
    <row r="15" spans="1:16" ht="25.25" customHeight="1" x14ac:dyDescent="0.45">
      <c r="A15" s="26">
        <v>5</v>
      </c>
      <c r="B15" s="27" t="s">
        <v>67</v>
      </c>
      <c r="C15" s="28" t="str">
        <f>IFERROR(VLOOKUP($B15,자재리스트!$B$4:$M$92,2,FALSE),)</f>
        <v>EO Camera</v>
      </c>
      <c r="D15" s="27"/>
      <c r="E15" s="27" t="str">
        <f>IFERROR(VLOOKUP($B15,자재리스트!$B$4:$M$92,4,FALSE),)</f>
        <v>광학 카메라(4K)</v>
      </c>
      <c r="F15" s="27" t="str">
        <f>IFERROR(VLOOKUP($B15,자재리스트!$B$4:$M$92,5,FALSE),)</f>
        <v xml:space="preserve"> - </v>
      </c>
      <c r="G15" s="27" t="str">
        <f>IFERROR(VLOOKUP($B15,자재리스트!$B$4:$M$92,6,FALSE),)</f>
        <v>인도</v>
      </c>
      <c r="H15" s="27" t="str">
        <f>IFERROR(VLOOKUP($B15,자재리스트!$B$4:$M$92,7,FALSE),)</f>
        <v>개</v>
      </c>
      <c r="I15" s="29">
        <v>3</v>
      </c>
      <c r="J15" s="29" t="str">
        <f>IFERROR(VLOOKUP($B15,자재리스트!$B$4:$M$92,8,FALSE),)</f>
        <v>KRW</v>
      </c>
      <c r="K15" s="29">
        <f>IFERROR(VLOOKUP($B15,자재리스트!$B$4:$M$92,9,FALSE),)</f>
        <v>532576</v>
      </c>
      <c r="L15" s="29">
        <f t="shared" si="0"/>
        <v>1597728</v>
      </c>
      <c r="M15" s="27" t="str">
        <f>IFERROR(VLOOKUP($B15,자재리스트!$B$4:$M$92,10,FALSE),)</f>
        <v>사이더스/e-con</v>
      </c>
      <c r="N15" s="27" t="str">
        <f>IFERROR(VLOOKUP($B15,자재리스트!$B$4:$M$92,11,FALSE),)</f>
        <v>거래명세서</v>
      </c>
      <c r="O15" s="27" t="str">
        <f>IFERROR(VLOOKUP($B15,자재리스트!$B$4:$M$92,12,FALSE),)</f>
        <v>w. GMSL cable</v>
      </c>
    </row>
    <row r="16" spans="1:16" ht="25.25" customHeight="1" x14ac:dyDescent="0.45">
      <c r="A16" s="26">
        <v>6</v>
      </c>
      <c r="B16" s="27" t="s">
        <v>68</v>
      </c>
      <c r="C16" s="28" t="str">
        <f>IFERROR(VLOOKUP($B16,자재리스트!$B$4:$M$92,2,FALSE),)</f>
        <v>IR camera</v>
      </c>
      <c r="D16" s="27"/>
      <c r="E16" s="27" t="str">
        <f>IFERROR(VLOOKUP($B16,자재리스트!$B$4:$M$92,4,FALSE),)</f>
        <v>열화상 카메라</v>
      </c>
      <c r="F16" s="27" t="str">
        <f>IFERROR(VLOOKUP($B16,자재리스트!$B$4:$M$92,5,FALSE),)</f>
        <v xml:space="preserve"> - </v>
      </c>
      <c r="G16" s="27" t="str">
        <f>IFERROR(VLOOKUP($B16,자재리스트!$B$4:$M$92,6,FALSE),)</f>
        <v>미국</v>
      </c>
      <c r="H16" s="27" t="str">
        <f>IFERROR(VLOOKUP($B16,자재리스트!$B$4:$M$92,7,FALSE),)</f>
        <v>개</v>
      </c>
      <c r="I16" s="29">
        <v>3</v>
      </c>
      <c r="J16" s="29" t="str">
        <f>IFERROR(VLOOKUP($B16,자재리스트!$B$4:$M$92,8,FALSE),)</f>
        <v>KRW</v>
      </c>
      <c r="K16" s="29">
        <f>IFERROR(VLOOKUP($B16,자재리스트!$B$4:$M$92,9,FALSE),)</f>
        <v>2487523</v>
      </c>
      <c r="L16" s="29">
        <f t="shared" si="0"/>
        <v>7462569</v>
      </c>
      <c r="M16" s="27" t="str">
        <f>IFERROR(VLOOKUP($B16,자재리스트!$B$4:$M$92,10,FALSE),)</f>
        <v>IRKEN/FLIR</v>
      </c>
      <c r="N16" s="27" t="str">
        <f>IFERROR(VLOOKUP($B16,자재리스트!$B$4:$M$92,11,FALSE),)</f>
        <v>거래명세서</v>
      </c>
      <c r="O16" s="27" t="str">
        <f>IFERROR(VLOOKUP($B16,자재리스트!$B$4:$M$92,12,FALSE),)</f>
        <v>w. VPC KIT</v>
      </c>
    </row>
    <row r="17" spans="1:15" ht="25.25" customHeight="1" x14ac:dyDescent="0.45">
      <c r="A17" s="26">
        <v>7</v>
      </c>
      <c r="B17" s="27" t="s">
        <v>69</v>
      </c>
      <c r="C17" s="28" t="str">
        <f>IFERROR(VLOOKUP($B17,자재리스트!$B$4:$M$92,2,FALSE),)</f>
        <v>IR camera window</v>
      </c>
      <c r="D17" s="27"/>
      <c r="E17" s="27" t="str">
        <f>IFERROR(VLOOKUP($B17,자재리스트!$B$4:$M$92,4,FALSE),)</f>
        <v>열화상 카메라 윈도우</v>
      </c>
      <c r="F17" s="27" t="str">
        <f>IFERROR(VLOOKUP($B17,자재리스트!$B$4:$M$92,5,FALSE),)</f>
        <v xml:space="preserve"> - </v>
      </c>
      <c r="G17" s="27" t="str">
        <f>IFERROR(VLOOKUP($B17,자재리스트!$B$4:$M$92,6,FALSE),)</f>
        <v>중국</v>
      </c>
      <c r="H17" s="27" t="str">
        <f>IFERROR(VLOOKUP($B17,자재리스트!$B$4:$M$92,7,FALSE),)</f>
        <v>개</v>
      </c>
      <c r="I17" s="29">
        <v>3</v>
      </c>
      <c r="J17" s="29" t="str">
        <f>IFERROR(VLOOKUP($B17,자재리스트!$B$4:$M$92,8,FALSE),)</f>
        <v>KRW</v>
      </c>
      <c r="K17" s="29">
        <f>IFERROR(VLOOKUP($B17,자재리스트!$B$4:$M$92,9,FALSE),)</f>
        <v>220965</v>
      </c>
      <c r="L17" s="29">
        <f t="shared" si="0"/>
        <v>662895</v>
      </c>
      <c r="M17" s="27" t="str">
        <f>IFERROR(VLOOKUP($B17,자재리스트!$B$4:$M$92,10,FALSE),)</f>
        <v>센서캠</v>
      </c>
      <c r="N17" s="27" t="str">
        <f>IFERROR(VLOOKUP($B17,자재리스트!$B$4:$M$92,11,FALSE),)</f>
        <v>거래명세서</v>
      </c>
      <c r="O17" s="27" t="str">
        <f>IFERROR(VLOOKUP($B17,자재리스트!$B$4:$M$92,12,FALSE),)</f>
        <v>1세대 용 (직경 42mm)</v>
      </c>
    </row>
    <row r="18" spans="1:15" ht="25.25" customHeight="1" x14ac:dyDescent="0.45">
      <c r="A18" s="26">
        <v>8</v>
      </c>
      <c r="B18" s="27" t="s">
        <v>70</v>
      </c>
      <c r="C18" s="28" t="str">
        <f>IFERROR(VLOOKUP($B18,자재리스트!$B$4:$M$92,2,FALSE),)</f>
        <v>NAS junction box</v>
      </c>
      <c r="D18" s="27"/>
      <c r="E18" s="27" t="str">
        <f>IFERROR(VLOOKUP($B18,자재리스트!$B$4:$M$92,4,FALSE),)</f>
        <v>정션박스</v>
      </c>
      <c r="F18" s="27" t="str">
        <f>IFERROR(VLOOKUP($B18,자재리스트!$B$4:$M$92,5,FALSE),)</f>
        <v xml:space="preserve"> - </v>
      </c>
      <c r="G18" s="27" t="str">
        <f>IFERROR(VLOOKUP($B18,자재리스트!$B$4:$M$92,6,FALSE),)</f>
        <v>한국</v>
      </c>
      <c r="H18" s="27" t="str">
        <f>IFERROR(VLOOKUP($B18,자재리스트!$B$4:$M$92,7,FALSE),)</f>
        <v>개</v>
      </c>
      <c r="I18" s="29">
        <v>1</v>
      </c>
      <c r="J18" s="29" t="str">
        <f>IFERROR(VLOOKUP($B18,자재리스트!$B$4:$M$92,8,FALSE),)</f>
        <v>KRW</v>
      </c>
      <c r="K18" s="29">
        <f>IFERROR(VLOOKUP($B18,자재리스트!$B$4:$M$92,9,FALSE),)</f>
        <v>1000000</v>
      </c>
      <c r="L18" s="29">
        <f t="shared" si="0"/>
        <v>1000000</v>
      </c>
      <c r="M18" s="27" t="str">
        <f>IFERROR(VLOOKUP($B18,자재리스트!$B$4:$M$92,10,FALSE),)</f>
        <v>MRC</v>
      </c>
      <c r="N18" s="27" t="str">
        <f>IFERROR(VLOOKUP($B18,자재리스트!$B$4:$M$92,11,FALSE),)</f>
        <v>거래명세서</v>
      </c>
      <c r="O18" s="27" t="str">
        <f>IFERROR(VLOOKUP($B18,자재리스트!$B$4:$M$92,12,FALSE),)</f>
        <v xml:space="preserve"> - </v>
      </c>
    </row>
    <row r="19" spans="1:15" ht="25.25" customHeight="1" x14ac:dyDescent="0.45">
      <c r="A19" s="26">
        <v>9</v>
      </c>
      <c r="B19" s="27" t="s">
        <v>71</v>
      </c>
      <c r="C19" s="28" t="str">
        <f>IFERROR(VLOOKUP($B19,자재리스트!$B$4:$M$92,2,FALSE),)</f>
        <v>Single Board Computer</v>
      </c>
      <c r="D19" s="27"/>
      <c r="E19" s="27" t="str">
        <f>IFERROR(VLOOKUP($B19,자재리스트!$B$4:$M$92,4,FALSE),)</f>
        <v>카메라와 서버 연동</v>
      </c>
      <c r="F19" s="27" t="str">
        <f>IFERROR(VLOOKUP($B19,자재리스트!$B$4:$M$92,5,FALSE),)</f>
        <v xml:space="preserve"> - </v>
      </c>
      <c r="G19" s="27" t="str">
        <f>IFERROR(VLOOKUP($B19,자재리스트!$B$4:$M$92,6,FALSE),)</f>
        <v>인도</v>
      </c>
      <c r="H19" s="27" t="str">
        <f>IFERROR(VLOOKUP($B19,자재리스트!$B$4:$M$92,7,FALSE),)</f>
        <v>개</v>
      </c>
      <c r="I19" s="29">
        <v>1</v>
      </c>
      <c r="J19" s="29" t="str">
        <f>IFERROR(VLOOKUP($B19,자재리스트!$B$4:$M$92,8,FALSE),)</f>
        <v>KRW</v>
      </c>
      <c r="K19" s="29">
        <f>IFERROR(VLOOKUP($B19,자재리스트!$B$4:$M$92,9,FALSE),)</f>
        <v>4508312</v>
      </c>
      <c r="L19" s="29">
        <f>I19*K19</f>
        <v>4508312</v>
      </c>
      <c r="M19" s="27" t="str">
        <f>IFERROR(VLOOKUP($B19,자재리스트!$B$4:$M$92,10,FALSE),)</f>
        <v>사이더스/e-con</v>
      </c>
      <c r="N19" s="27" t="str">
        <f>IFERROR(VLOOKUP($B19,자재리스트!$B$4:$M$92,11,FALSE),)</f>
        <v>거래명세서</v>
      </c>
      <c r="O19" s="27" t="str">
        <f>IFERROR(VLOOKUP($B19,자재리스트!$B$4:$M$92,12,FALSE),)</f>
        <v xml:space="preserve"> - </v>
      </c>
    </row>
    <row r="20" spans="1:15" ht="25.25" customHeight="1" x14ac:dyDescent="0.45">
      <c r="A20" s="26">
        <v>10</v>
      </c>
      <c r="B20" s="27" t="s">
        <v>72</v>
      </c>
      <c r="C20" s="28" t="str">
        <f>IFERROR(VLOOKUP($B20,자재리스트!$B$4:$M$92,2,FALSE),)</f>
        <v>SMPS</v>
      </c>
      <c r="D20" s="27"/>
      <c r="E20" s="27" t="str">
        <f>IFERROR(VLOOKUP($B20,자재리스트!$B$4:$M$92,4,FALSE),)</f>
        <v>Single Board Computer  전원 공급</v>
      </c>
      <c r="F20" s="27" t="str">
        <f>IFERROR(VLOOKUP($B20,자재리스트!$B$4:$M$92,5,FALSE),)</f>
        <v xml:space="preserve"> - </v>
      </c>
      <c r="G20" s="27" t="str">
        <f>IFERROR(VLOOKUP($B20,자재리스트!$B$4:$M$92,6,FALSE),)</f>
        <v>한국</v>
      </c>
      <c r="H20" s="27" t="str">
        <f>IFERROR(VLOOKUP($B20,자재리스트!$B$4:$M$92,7,FALSE),)</f>
        <v>개</v>
      </c>
      <c r="I20" s="29">
        <v>1</v>
      </c>
      <c r="J20" s="29" t="str">
        <f>IFERROR(VLOOKUP($B20,자재리스트!$B$4:$M$92,8,FALSE),)</f>
        <v>KRW</v>
      </c>
      <c r="K20" s="29">
        <f>IFERROR(VLOOKUP($B20,자재리스트!$B$4:$M$92,9,FALSE),)</f>
        <v>150000</v>
      </c>
      <c r="L20" s="29">
        <f t="shared" ref="L20:L21" si="1">I20*K20</f>
        <v>150000</v>
      </c>
      <c r="M20" s="27" t="str">
        <f>IFERROR(VLOOKUP($B20,자재리스트!$B$4:$M$92,10,FALSE),)</f>
        <v>파워캅</v>
      </c>
      <c r="N20" s="27" t="str">
        <f>IFERROR(VLOOKUP($B20,자재리스트!$B$4:$M$92,11,FALSE),)</f>
        <v>거래명세서</v>
      </c>
      <c r="O20" s="27" t="str">
        <f>IFERROR(VLOOKUP($B20,자재리스트!$B$4:$M$92,12,FALSE),)</f>
        <v xml:space="preserve"> - </v>
      </c>
    </row>
    <row r="21" spans="1:15" ht="25.25" customHeight="1" x14ac:dyDescent="0.45">
      <c r="A21" s="26">
        <v>11</v>
      </c>
      <c r="B21" s="27" t="s">
        <v>73</v>
      </c>
      <c r="C21" s="28" t="str">
        <f>IFERROR(VLOOKUP($B21,자재리스트!$B$4:$M$92,2,FALSE),)</f>
        <v>EMI/EMC filter</v>
      </c>
      <c r="D21" s="27"/>
      <c r="E21" s="27" t="str">
        <f>IFERROR(VLOOKUP($B21,자재리스트!$B$4:$M$92,4,FALSE),)</f>
        <v>정션박스 전자파 차폐용</v>
      </c>
      <c r="F21" s="27" t="str">
        <f>IFERROR(VLOOKUP($B21,자재리스트!$B$4:$M$92,5,FALSE),)</f>
        <v xml:space="preserve"> - </v>
      </c>
      <c r="G21" s="27" t="str">
        <f>IFERROR(VLOOKUP($B21,자재리스트!$B$4:$M$92,6,FALSE),)</f>
        <v>한국</v>
      </c>
      <c r="H21" s="27" t="str">
        <f>IFERROR(VLOOKUP($B21,자재리스트!$B$4:$M$92,7,FALSE),)</f>
        <v>개</v>
      </c>
      <c r="I21" s="29">
        <v>1</v>
      </c>
      <c r="J21" s="29" t="str">
        <f>IFERROR(VLOOKUP($B21,자재리스트!$B$4:$M$92,8,FALSE),)</f>
        <v>KRW</v>
      </c>
      <c r="K21" s="29">
        <f>IFERROR(VLOOKUP($B21,자재리스트!$B$4:$M$92,9,FALSE),)</f>
        <v>77000</v>
      </c>
      <c r="L21" s="29">
        <f t="shared" si="1"/>
        <v>77000</v>
      </c>
      <c r="M21" s="27" t="str">
        <f>IFERROR(VLOOKUP($B21,자재리스트!$B$4:$M$92,10,FALSE),)</f>
        <v>오키</v>
      </c>
      <c r="N21" s="27" t="str">
        <f>IFERROR(VLOOKUP($B21,자재리스트!$B$4:$M$92,11,FALSE),)</f>
        <v>거래명세서</v>
      </c>
      <c r="O21" s="27" t="str">
        <f>IFERROR(VLOOKUP($B21,자재리스트!$B$4:$M$92,12,FALSE),)</f>
        <v xml:space="preserve"> - </v>
      </c>
    </row>
    <row r="22" spans="1:15" ht="25.25" customHeight="1" x14ac:dyDescent="0.45">
      <c r="A22" s="26">
        <v>12</v>
      </c>
      <c r="B22" s="27" t="s">
        <v>74</v>
      </c>
      <c r="C22" s="28" t="str">
        <f>IFERROR(VLOOKUP($B22,자재리스트!$B$4:$M$92,2,FALSE),)</f>
        <v>Network switch</v>
      </c>
      <c r="D22" s="27"/>
      <c r="E22" s="27" t="str">
        <f>IFERROR(VLOOKUP($B22,자재리스트!$B$4:$M$92,4,FALSE),)</f>
        <v>허브 (선급인증품)</v>
      </c>
      <c r="F22" s="27" t="str">
        <f>IFERROR(VLOOKUP($B22,자재리스트!$B$4:$M$92,5,FALSE),)</f>
        <v xml:space="preserve"> - </v>
      </c>
      <c r="G22" s="27" t="str">
        <f>IFERROR(VLOOKUP($B22,자재리스트!$B$4:$M$92,6,FALSE),)</f>
        <v>한국</v>
      </c>
      <c r="H22" s="27" t="str">
        <f>IFERROR(VLOOKUP($B22,자재리스트!$B$4:$M$92,7,FALSE),)</f>
        <v>개</v>
      </c>
      <c r="I22" s="29">
        <v>1</v>
      </c>
      <c r="J22" s="29" t="str">
        <f>IFERROR(VLOOKUP($B22,자재리스트!$B$4:$M$92,8,FALSE),)</f>
        <v>KRW</v>
      </c>
      <c r="K22" s="29">
        <f>IFERROR(VLOOKUP($B22,자재리스트!$B$4:$M$92,9,FALSE),)</f>
        <v>1596000</v>
      </c>
      <c r="L22" s="29">
        <f t="shared" si="0"/>
        <v>1596000</v>
      </c>
      <c r="M22" s="27" t="str">
        <f>IFERROR(VLOOKUP($B22,자재리스트!$B$4:$M$92,10,FALSE),)</f>
        <v>여의시스템</v>
      </c>
      <c r="N22" s="27" t="str">
        <f>IFERROR(VLOOKUP($B22,자재리스트!$B$4:$M$92,11,FALSE),)</f>
        <v>거래명세서</v>
      </c>
      <c r="O22" s="27" t="str">
        <f>IFERROR(VLOOKUP($B22,자재리스트!$B$4:$M$92,12,FALSE),)</f>
        <v xml:space="preserve"> - </v>
      </c>
    </row>
    <row r="23" spans="1:15" ht="25.25" customHeight="1" x14ac:dyDescent="0.45">
      <c r="A23" s="26">
        <v>13</v>
      </c>
      <c r="B23" s="27" t="s">
        <v>75</v>
      </c>
      <c r="C23" s="28" t="str">
        <f>IFERROR(VLOOKUP($B23,자재리스트!$B$4:$M$92,2,FALSE),)</f>
        <v>UPS</v>
      </c>
      <c r="D23" s="27"/>
      <c r="E23" s="27" t="str">
        <f>IFERROR(VLOOKUP($B23,자재리스트!$B$4:$M$92,4,FALSE),)</f>
        <v>1kVA, 무정전 전원 공급, Stand type</v>
      </c>
      <c r="F23" s="27" t="str">
        <f>IFERROR(VLOOKUP($B23,자재리스트!$B$4:$M$92,5,FALSE),)</f>
        <v xml:space="preserve"> - </v>
      </c>
      <c r="G23" s="27" t="str">
        <f>IFERROR(VLOOKUP($B23,자재리스트!$B$4:$M$92,6,FALSE),)</f>
        <v>한국</v>
      </c>
      <c r="H23" s="27" t="str">
        <f>IFERROR(VLOOKUP($B23,자재리스트!$B$4:$M$92,7,FALSE),)</f>
        <v>개</v>
      </c>
      <c r="I23" s="29">
        <v>1</v>
      </c>
      <c r="J23" s="29" t="str">
        <f>IFERROR(VLOOKUP($B23,자재리스트!$B$4:$M$92,8,FALSE),)</f>
        <v>KRW</v>
      </c>
      <c r="K23" s="29">
        <f>IFERROR(VLOOKUP($B23,자재리스트!$B$4:$M$92,9,FALSE),)</f>
        <v>1325500</v>
      </c>
      <c r="L23" s="29">
        <f t="shared" si="0"/>
        <v>1325500</v>
      </c>
      <c r="M23" s="27" t="str">
        <f>IFERROR(VLOOKUP($B23,자재리스트!$B$4:$M$92,10,FALSE),)</f>
        <v>기호티이에스</v>
      </c>
      <c r="N23" s="27" t="str">
        <f>IFERROR(VLOOKUP($B23,자재리스트!$B$4:$M$92,11,FALSE),)</f>
        <v>거래명세서</v>
      </c>
      <c r="O23" s="27" t="str">
        <f>IFERROR(VLOOKUP($B23,자재리스트!$B$4:$M$92,12,FALSE),)</f>
        <v>마린필터, network card, 케이블 포함</v>
      </c>
    </row>
    <row r="24" spans="1:15" ht="25.25" customHeight="1" x14ac:dyDescent="0.45">
      <c r="A24" s="26">
        <v>14</v>
      </c>
      <c r="B24" s="27" t="s">
        <v>76</v>
      </c>
      <c r="C24" s="28" t="str">
        <f>IFERROR(VLOOKUP($B24,자재리스트!$B$4:$M$92,2,FALSE),)</f>
        <v>멀티탭</v>
      </c>
      <c r="D24" s="27"/>
      <c r="E24" s="27" t="str">
        <f>IFERROR(VLOOKUP($B24,자재리스트!$B$4:$M$92,4,FALSE),)</f>
        <v>UPS용</v>
      </c>
      <c r="F24" s="27" t="str">
        <f>IFERROR(VLOOKUP($B24,자재리스트!$B$4:$M$92,5,FALSE),)</f>
        <v xml:space="preserve"> - </v>
      </c>
      <c r="G24" s="27" t="str">
        <f>IFERROR(VLOOKUP($B24,자재리스트!$B$4:$M$92,6,FALSE),)</f>
        <v>한국</v>
      </c>
      <c r="H24" s="27" t="str">
        <f>IFERROR(VLOOKUP($B24,자재리스트!$B$4:$M$92,7,FALSE),)</f>
        <v>개</v>
      </c>
      <c r="I24" s="29">
        <v>2</v>
      </c>
      <c r="J24" s="29" t="str">
        <f>IFERROR(VLOOKUP($B24,자재리스트!$B$4:$M$92,8,FALSE),)</f>
        <v>KRW</v>
      </c>
      <c r="K24" s="29">
        <f>IFERROR(VLOOKUP($B24,자재리스트!$B$4:$M$92,9,FALSE),)</f>
        <v>10800</v>
      </c>
      <c r="L24" s="29">
        <f t="shared" si="0"/>
        <v>21600</v>
      </c>
      <c r="M24" s="27" t="str">
        <f>IFERROR(VLOOKUP($B24,자재리스트!$B$4:$M$92,10,FALSE),)</f>
        <v>쿠팡</v>
      </c>
      <c r="N24" s="27" t="str">
        <f>IFERROR(VLOOKUP($B24,자재리스트!$B$4:$M$92,11,FALSE),)</f>
        <v>거래명세서</v>
      </c>
      <c r="O24" s="27" t="str">
        <f>IFERROR(VLOOKUP($B24,자재리스트!$B$4:$M$92,12,FALSE),)</f>
        <v xml:space="preserve"> - </v>
      </c>
    </row>
    <row r="25" spans="1:15" ht="25.25" customHeight="1" x14ac:dyDescent="0.45">
      <c r="A25" s="26">
        <v>15</v>
      </c>
      <c r="B25" s="27" t="s">
        <v>77</v>
      </c>
      <c r="C25" s="28" t="str">
        <f>IFERROR(VLOOKUP($B25,자재리스트!$B$4:$M$92,2,FALSE),)</f>
        <v>C13-C14(MALE)</v>
      </c>
      <c r="D25" s="27"/>
      <c r="E25" s="27" t="str">
        <f>IFERROR(VLOOKUP($B25,자재리스트!$B$4:$M$92,4,FALSE),)</f>
        <v>UPS용</v>
      </c>
      <c r="F25" s="27" t="str">
        <f>IFERROR(VLOOKUP($B25,자재리스트!$B$4:$M$92,5,FALSE),)</f>
        <v xml:space="preserve"> - </v>
      </c>
      <c r="G25" s="27" t="str">
        <f>IFERROR(VLOOKUP($B25,자재리스트!$B$4:$M$92,6,FALSE),)</f>
        <v>한국</v>
      </c>
      <c r="H25" s="27" t="str">
        <f>IFERROR(VLOOKUP($B25,자재리스트!$B$4:$M$92,7,FALSE),)</f>
        <v>개</v>
      </c>
      <c r="I25" s="29">
        <v>3</v>
      </c>
      <c r="J25" s="29" t="str">
        <f>IFERROR(VLOOKUP($B25,자재리스트!$B$4:$M$92,8,FALSE),)</f>
        <v>KRW</v>
      </c>
      <c r="K25" s="29">
        <f>IFERROR(VLOOKUP($B25,자재리스트!$B$4:$M$92,9,FALSE),)</f>
        <v>9900</v>
      </c>
      <c r="L25" s="29">
        <f t="shared" si="0"/>
        <v>29700</v>
      </c>
      <c r="M25" s="27" t="str">
        <f>IFERROR(VLOOKUP($B25,자재리스트!$B$4:$M$92,10,FALSE),)</f>
        <v>한주전자</v>
      </c>
      <c r="N25" s="27" t="str">
        <f>IFERROR(VLOOKUP($B25,자재리스트!$B$4:$M$92,11,FALSE),)</f>
        <v>거래명세서</v>
      </c>
      <c r="O25" s="27" t="str">
        <f>IFERROR(VLOOKUP($B25,자재리스트!$B$4:$M$92,12,FALSE),)</f>
        <v xml:space="preserve"> - </v>
      </c>
    </row>
    <row r="27" spans="1:15" ht="17.5" x14ac:dyDescent="0.45">
      <c r="C27" s="120" t="s">
        <v>78</v>
      </c>
      <c r="D27" s="120"/>
      <c r="E27" s="120"/>
      <c r="F27" s="120"/>
      <c r="G27" s="120"/>
      <c r="H27" s="120"/>
      <c r="I27" s="120"/>
      <c r="J27" s="120"/>
      <c r="K27" s="120"/>
      <c r="L27" s="120"/>
      <c r="M27" s="120"/>
      <c r="N27" s="120"/>
      <c r="O27" s="120"/>
    </row>
    <row r="28" spans="1:15" ht="17.5" x14ac:dyDescent="0.45">
      <c r="C28" s="120" t="s">
        <v>79</v>
      </c>
      <c r="D28" s="120"/>
      <c r="E28" s="120"/>
      <c r="F28" s="120"/>
      <c r="G28" s="120"/>
      <c r="H28" s="120"/>
      <c r="I28" s="120"/>
      <c r="J28" s="120"/>
      <c r="K28" s="120"/>
      <c r="L28" s="120"/>
      <c r="M28" s="120"/>
      <c r="N28" s="120"/>
      <c r="O28" s="120"/>
    </row>
  </sheetData>
  <mergeCells count="4">
    <mergeCell ref="A2:O2"/>
    <mergeCell ref="C10:D10"/>
    <mergeCell ref="C27:O27"/>
    <mergeCell ref="C28:O28"/>
  </mergeCells>
  <phoneticPr fontId="3" type="noConversion"/>
  <printOptions horizontalCentered="1"/>
  <pageMargins left="0.70866141732283472" right="0.70866141732283472" top="0.74803149606299213" bottom="0.74803149606299213" header="0.31496062992125984" footer="0.31496062992125984"/>
  <pageSetup paperSize="9" scale="65" fitToHeight="0" orientation="landscape" r:id="rId1"/>
  <headerFooter>
    <oddFooter>&amp;L_x000D_&amp;1#&amp;"Calibri"&amp;9&amp;K000000 Confidential | AVIKUS – Unauthorized distribution is strictly prohibited</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85EEA-9D7A-4082-9198-DE6A2F15E580}">
  <sheetPr>
    <tabColor rgb="FFFF0000"/>
    <pageSetUpPr fitToPage="1"/>
  </sheetPr>
  <dimension ref="A2:P29"/>
  <sheetViews>
    <sheetView showGridLines="0" view="pageBreakPreview" topLeftCell="A7" zoomScaleNormal="100" zoomScaleSheetLayoutView="100" workbookViewId="0">
      <selection activeCell="Q25" sqref="Q25"/>
    </sheetView>
  </sheetViews>
  <sheetFormatPr defaultColWidth="10" defaultRowHeight="17" x14ac:dyDescent="0.45"/>
  <cols>
    <col min="1" max="1" width="6.4140625" style="16" customWidth="1"/>
    <col min="2" max="2" width="13.5" style="16" customWidth="1"/>
    <col min="3" max="3" width="2.08203125" style="16" customWidth="1"/>
    <col min="4" max="5" width="20" style="16" customWidth="1"/>
    <col min="6" max="9" width="10" style="16"/>
    <col min="10" max="10" width="7" style="16" bestFit="1" customWidth="1"/>
    <col min="11" max="12" width="10" style="16"/>
    <col min="13" max="13" width="16.1640625" style="16" customWidth="1"/>
    <col min="14" max="14" width="14.5" style="16" customWidth="1"/>
    <col min="15" max="15" width="13" style="16" customWidth="1"/>
    <col min="16" max="16384" width="10" style="16"/>
  </cols>
  <sheetData>
    <row r="2" spans="1:16" ht="30" x14ac:dyDescent="0.45">
      <c r="A2" s="117" t="s">
        <v>38</v>
      </c>
      <c r="B2" s="117"/>
      <c r="C2" s="117"/>
      <c r="D2" s="117"/>
      <c r="E2" s="117"/>
      <c r="F2" s="117"/>
      <c r="G2" s="117"/>
      <c r="H2" s="117"/>
      <c r="I2" s="117"/>
      <c r="J2" s="117"/>
      <c r="K2" s="117"/>
      <c r="L2" s="117"/>
      <c r="M2" s="117"/>
      <c r="N2" s="117"/>
      <c r="O2" s="117"/>
    </row>
    <row r="3" spans="1:16" x14ac:dyDescent="0.45">
      <c r="C3" s="16" t="s">
        <v>39</v>
      </c>
    </row>
    <row r="4" spans="1:16" ht="21" customHeight="1" x14ac:dyDescent="0.45">
      <c r="A4" s="18" t="s">
        <v>40</v>
      </c>
      <c r="B4" s="19"/>
      <c r="C4" s="19" t="s">
        <v>41</v>
      </c>
      <c r="D4" s="20" t="s">
        <v>80</v>
      </c>
      <c r="E4" s="21"/>
      <c r="F4" s="21"/>
      <c r="G4" s="21"/>
      <c r="H4" s="21"/>
      <c r="I4" s="21"/>
      <c r="J4" s="21"/>
      <c r="K4" s="21"/>
      <c r="L4" s="21"/>
      <c r="M4" s="21"/>
      <c r="N4" s="21"/>
      <c r="O4" s="21"/>
    </row>
    <row r="5" spans="1:16" ht="21" customHeight="1" x14ac:dyDescent="0.45">
      <c r="A5" s="21" t="s">
        <v>43</v>
      </c>
      <c r="C5" s="16" t="s">
        <v>41</v>
      </c>
      <c r="D5" s="16" t="s">
        <v>16</v>
      </c>
      <c r="E5" s="21"/>
      <c r="F5" s="21"/>
      <c r="G5" s="21"/>
      <c r="H5" s="21"/>
      <c r="I5" s="21"/>
      <c r="J5" s="21"/>
      <c r="K5" s="21"/>
      <c r="L5" s="21"/>
      <c r="M5" s="21"/>
      <c r="N5" s="21"/>
      <c r="O5" s="21"/>
    </row>
    <row r="6" spans="1:16" ht="21" customHeight="1" x14ac:dyDescent="0.45">
      <c r="A6" s="21" t="s">
        <v>44</v>
      </c>
      <c r="C6" s="16" t="s">
        <v>41</v>
      </c>
      <c r="E6" s="21"/>
      <c r="F6" s="21"/>
      <c r="G6" s="21"/>
      <c r="H6" s="21"/>
      <c r="I6" s="21"/>
      <c r="J6" s="21"/>
      <c r="K6" s="21"/>
      <c r="L6" s="21"/>
      <c r="M6" s="21"/>
      <c r="N6" s="21"/>
      <c r="O6" s="21"/>
    </row>
    <row r="7" spans="1:16" ht="21" customHeight="1" x14ac:dyDescent="0.45">
      <c r="A7" s="21" t="s">
        <v>45</v>
      </c>
      <c r="C7" s="16" t="s">
        <v>41</v>
      </c>
      <c r="E7" s="21"/>
      <c r="F7" s="21" t="s">
        <v>39</v>
      </c>
      <c r="G7" s="21"/>
      <c r="H7" s="21"/>
      <c r="I7" s="21"/>
      <c r="J7" s="21"/>
      <c r="K7" s="21"/>
      <c r="L7" s="21"/>
      <c r="M7" s="21"/>
      <c r="N7" s="21"/>
      <c r="O7" s="21"/>
    </row>
    <row r="8" spans="1:16" ht="21" customHeight="1" x14ac:dyDescent="0.45">
      <c r="A8" s="21" t="s">
        <v>46</v>
      </c>
      <c r="E8" s="21"/>
      <c r="F8" s="21"/>
      <c r="G8" s="21"/>
      <c r="H8" s="21"/>
      <c r="I8" s="21"/>
      <c r="J8" s="21"/>
      <c r="K8" s="21"/>
      <c r="L8" s="21"/>
      <c r="M8" s="21"/>
      <c r="N8" s="21"/>
      <c r="O8" s="21"/>
    </row>
    <row r="9" spans="1:16" ht="6" customHeight="1" x14ac:dyDescent="0.45"/>
    <row r="10" spans="1:16" ht="34" x14ac:dyDescent="0.45">
      <c r="A10" s="23" t="s">
        <v>47</v>
      </c>
      <c r="B10" s="24" t="s">
        <v>48</v>
      </c>
      <c r="C10" s="118" t="s">
        <v>49</v>
      </c>
      <c r="D10" s="119"/>
      <c r="E10" s="24" t="s">
        <v>50</v>
      </c>
      <c r="F10" s="25" t="s">
        <v>51</v>
      </c>
      <c r="G10" s="24" t="s">
        <v>52</v>
      </c>
      <c r="H10" s="24" t="s">
        <v>53</v>
      </c>
      <c r="I10" s="24" t="s">
        <v>54</v>
      </c>
      <c r="J10" s="24" t="s">
        <v>55</v>
      </c>
      <c r="K10" s="24" t="s">
        <v>57</v>
      </c>
      <c r="L10" s="24" t="s">
        <v>58</v>
      </c>
      <c r="M10" s="24" t="s">
        <v>60</v>
      </c>
      <c r="N10" s="24" t="s">
        <v>61</v>
      </c>
      <c r="O10" s="24" t="s">
        <v>62</v>
      </c>
    </row>
    <row r="11" spans="1:16" ht="25.25" customHeight="1" x14ac:dyDescent="0.45">
      <c r="A11" s="26">
        <v>1</v>
      </c>
      <c r="B11" s="27" t="s">
        <v>81</v>
      </c>
      <c r="C11" s="28" t="str">
        <f>IFERROR(VLOOKUP($B11,자재리스트!$B$4:$M$92,2,FALSE),)</f>
        <v>Monitor</v>
      </c>
      <c r="D11" s="27"/>
      <c r="E11" s="27" t="str">
        <f>IFERROR(VLOOKUP($B11,자재리스트!$B$4:$M$92,4,FALSE),)</f>
        <v>DOM 58.4인치 모니터</v>
      </c>
      <c r="F11" s="27" t="str">
        <f>IFERROR(VLOOKUP($B11,자재리스트!$B$4:$M$92,5,FALSE),)</f>
        <v xml:space="preserve"> - </v>
      </c>
      <c r="G11" s="27" t="str">
        <f>IFERROR(VLOOKUP($B11,자재리스트!$B$4:$M$92,6,FALSE),)</f>
        <v>한국</v>
      </c>
      <c r="H11" s="27" t="str">
        <f>IFERROR(VLOOKUP($B11,자재리스트!$B$4:$M$92,7,FALSE),)</f>
        <v>개</v>
      </c>
      <c r="I11" s="29">
        <v>1</v>
      </c>
      <c r="J11" s="29" t="str">
        <f>IFERROR(VLOOKUP($B11,자재리스트!$B$4:$M$92,8,FALSE),)</f>
        <v>KRW</v>
      </c>
      <c r="K11" s="29">
        <f>IFERROR(VLOOKUP($B11,자재리스트!$B$4:$M$92,9,FALSE),)</f>
        <v>6540000</v>
      </c>
      <c r="L11" s="29">
        <f>I11*K11</f>
        <v>6540000</v>
      </c>
      <c r="M11" s="27" t="str">
        <f>IFERROR(VLOOKUP($B11,자재리스트!$B$4:$M$92,10,FALSE),)</f>
        <v>MRC/테트라다인</v>
      </c>
      <c r="N11" s="27" t="str">
        <f>IFERROR(VLOOKUP($B11,자재리스트!$B$4:$M$92,11,FALSE),)</f>
        <v>거래명세서</v>
      </c>
      <c r="O11" s="27" t="str">
        <f>IFERROR(VLOOKUP($B11,자재리스트!$B$4:$M$92,12,FALSE),)</f>
        <v>RCU, RCU cable, RS485 cable, bracket 포함</v>
      </c>
      <c r="P11" s="30"/>
    </row>
    <row r="12" spans="1:16" ht="25.25" customHeight="1" x14ac:dyDescent="0.45">
      <c r="A12" s="26">
        <v>2</v>
      </c>
      <c r="B12" s="27" t="s">
        <v>64</v>
      </c>
      <c r="C12" s="28" t="str">
        <f>IFERROR(VLOOKUP($B12,자재리스트!$B$4:$M$92,2,FALSE),)</f>
        <v>Server</v>
      </c>
      <c r="D12" s="27"/>
      <c r="E12" s="27" t="str">
        <f>IFERROR(VLOOKUP($B12,자재리스트!$B$4:$M$92,4,FALSE),)</f>
        <v>메인 서버</v>
      </c>
      <c r="F12" s="27" t="str">
        <f>IFERROR(VLOOKUP($B12,자재리스트!$B$4:$M$92,5,FALSE),)</f>
        <v xml:space="preserve"> - </v>
      </c>
      <c r="G12" s="27" t="str">
        <f>IFERROR(VLOOKUP($B12,자재리스트!$B$4:$M$92,6,FALSE),)</f>
        <v>중국</v>
      </c>
      <c r="H12" s="27" t="str">
        <f>IFERROR(VLOOKUP($B12,자재리스트!$B$4:$M$92,7,FALSE),)</f>
        <v>개</v>
      </c>
      <c r="I12" s="29">
        <v>1</v>
      </c>
      <c r="J12" s="29" t="str">
        <f>IFERROR(VLOOKUP($B12,자재리스트!$B$4:$M$92,8,FALSE),)</f>
        <v>KRW</v>
      </c>
      <c r="K12" s="29">
        <f>IFERROR(VLOOKUP($B12,자재리스트!$B$4:$M$92,9,FALSE),)</f>
        <v>3320000</v>
      </c>
      <c r="L12" s="29">
        <f t="shared" ref="L12:L26" si="0">I12*K12</f>
        <v>3320000</v>
      </c>
      <c r="M12" s="27" t="str">
        <f>IFERROR(VLOOKUP($B12,자재리스트!$B$4:$M$92,10,FALSE),)</f>
        <v>테트라다인</v>
      </c>
      <c r="N12" s="27" t="str">
        <f>IFERROR(VLOOKUP($B12,자재리스트!$B$4:$M$92,11,FALSE),)</f>
        <v>거래명세서</v>
      </c>
      <c r="O12" s="27" t="str">
        <f>IFERROR(VLOOKUP($B12,자재리스트!$B$4:$M$92,12,FALSE),)</f>
        <v xml:space="preserve"> - </v>
      </c>
    </row>
    <row r="13" spans="1:16" ht="25.25" customHeight="1" x14ac:dyDescent="0.45">
      <c r="A13" s="26">
        <v>3</v>
      </c>
      <c r="B13" s="27" t="s">
        <v>65</v>
      </c>
      <c r="C13" s="28" t="str">
        <f>IFERROR(VLOOKUP($B13,자재리스트!$B$4:$M$92,2,FALSE),)</f>
        <v>Trackball Mouse</v>
      </c>
      <c r="D13" s="27"/>
      <c r="E13" s="27" t="str">
        <f>IFERROR(VLOOKUP($B13,자재리스트!$B$4:$M$92,4,FALSE),)</f>
        <v>마우스</v>
      </c>
      <c r="F13" s="27" t="str">
        <f>IFERROR(VLOOKUP($B13,자재리스트!$B$4:$M$92,5,FALSE),)</f>
        <v xml:space="preserve"> - </v>
      </c>
      <c r="G13" s="27" t="str">
        <f>IFERROR(VLOOKUP($B13,자재리스트!$B$4:$M$92,6,FALSE),)</f>
        <v>한국</v>
      </c>
      <c r="H13" s="27" t="str">
        <f>IFERROR(VLOOKUP($B13,자재리스트!$B$4:$M$92,7,FALSE),)</f>
        <v>개</v>
      </c>
      <c r="I13" s="29">
        <v>2</v>
      </c>
      <c r="J13" s="29" t="str">
        <f>IFERROR(VLOOKUP($B13,자재리스트!$B$4:$M$92,8,FALSE),)</f>
        <v>KRW</v>
      </c>
      <c r="K13" s="29">
        <f>IFERROR(VLOOKUP($B13,자재리스트!$B$4:$M$92,9,FALSE),)</f>
        <v>95000</v>
      </c>
      <c r="L13" s="29">
        <f t="shared" si="0"/>
        <v>190000</v>
      </c>
      <c r="M13" s="27" t="str">
        <f>IFERROR(VLOOKUP($B13,자재리스트!$B$4:$M$92,10,FALSE),)</f>
        <v>쿠팡</v>
      </c>
      <c r="N13" s="27" t="str">
        <f>IFERROR(VLOOKUP($B13,자재리스트!$B$4:$M$92,11,FALSE),)</f>
        <v>거래명세서</v>
      </c>
      <c r="O13" s="27" t="str">
        <f>IFERROR(VLOOKUP($B13,자재리스트!$B$4:$M$92,12,FALSE),)</f>
        <v xml:space="preserve"> - </v>
      </c>
    </row>
    <row r="14" spans="1:16" ht="25.25" customHeight="1" x14ac:dyDescent="0.45">
      <c r="A14" s="26">
        <v>4</v>
      </c>
      <c r="B14" s="27" t="s">
        <v>82</v>
      </c>
      <c r="C14" s="28" t="str">
        <f>IFERROR(VLOOKUP($B14,자재리스트!$B$4:$M$92,2,FALSE),)</f>
        <v>Firewall</v>
      </c>
      <c r="D14" s="27"/>
      <c r="E14" s="27" t="str">
        <f>IFERROR(VLOOKUP($B14,자재리스트!$B$4:$M$92,4,FALSE),)</f>
        <v>방화벽 (선급인증품)</v>
      </c>
      <c r="F14" s="27" t="str">
        <f>IFERROR(VLOOKUP($B14,자재리스트!$B$4:$M$92,5,FALSE),)</f>
        <v xml:space="preserve"> - </v>
      </c>
      <c r="G14" s="27" t="str">
        <f>IFERROR(VLOOKUP($B14,자재리스트!$B$4:$M$92,6,FALSE),)</f>
        <v>한국</v>
      </c>
      <c r="H14" s="27" t="str">
        <f>IFERROR(VLOOKUP($B14,자재리스트!$B$4:$M$92,7,FALSE),)</f>
        <v>개</v>
      </c>
      <c r="I14" s="29">
        <v>1</v>
      </c>
      <c r="J14" s="29" t="str">
        <f>IFERROR(VLOOKUP($B14,자재리스트!$B$4:$M$92,8,FALSE),)</f>
        <v>KRW</v>
      </c>
      <c r="K14" s="29">
        <f>IFERROR(VLOOKUP($B14,자재리스트!$B$4:$M$92,9,FALSE),)</f>
        <v>3800000</v>
      </c>
      <c r="L14" s="29">
        <f t="shared" si="0"/>
        <v>3800000</v>
      </c>
      <c r="M14" s="27" t="str">
        <f>IFERROR(VLOOKUP($B14,자재리스트!$B$4:$M$92,10,FALSE),)</f>
        <v>MRC</v>
      </c>
      <c r="N14" s="27" t="str">
        <f>IFERROR(VLOOKUP($B14,자재리스트!$B$4:$M$92,11,FALSE),)</f>
        <v>거래명세서</v>
      </c>
      <c r="O14" s="27" t="str">
        <f>IFERROR(VLOOKUP($B14,자재리스트!$B$4:$M$92,12,FALSE),)</f>
        <v xml:space="preserve"> - </v>
      </c>
    </row>
    <row r="15" spans="1:16" ht="25.25" customHeight="1" x14ac:dyDescent="0.45">
      <c r="A15" s="26">
        <v>5</v>
      </c>
      <c r="B15" s="27" t="s">
        <v>74</v>
      </c>
      <c r="C15" s="28" t="str">
        <f>IFERROR(VLOOKUP($B15,자재리스트!$B$4:$M$92,2,FALSE),)</f>
        <v>Network switch</v>
      </c>
      <c r="D15" s="27"/>
      <c r="E15" s="27" t="str">
        <f>IFERROR(VLOOKUP($B15,자재리스트!$B$4:$M$92,4,FALSE),)</f>
        <v>허브 (선급인증품)</v>
      </c>
      <c r="F15" s="27" t="str">
        <f>IFERROR(VLOOKUP($B15,자재리스트!$B$4:$M$92,5,FALSE),)</f>
        <v xml:space="preserve"> - </v>
      </c>
      <c r="G15" s="27" t="str">
        <f>IFERROR(VLOOKUP($B15,자재리스트!$B$4:$M$92,6,FALSE),)</f>
        <v>한국</v>
      </c>
      <c r="H15" s="27" t="str">
        <f>IFERROR(VLOOKUP($B15,자재리스트!$B$4:$M$92,7,FALSE),)</f>
        <v>개</v>
      </c>
      <c r="I15" s="29">
        <v>1</v>
      </c>
      <c r="J15" s="29" t="str">
        <f>IFERROR(VLOOKUP($B15,자재리스트!$B$4:$M$92,8,FALSE),)</f>
        <v>KRW</v>
      </c>
      <c r="K15" s="29">
        <f>IFERROR(VLOOKUP($B15,자재리스트!$B$4:$M$92,9,FALSE),)</f>
        <v>1596000</v>
      </c>
      <c r="L15" s="29">
        <f>I15*K15</f>
        <v>1596000</v>
      </c>
      <c r="M15" s="27" t="str">
        <f>IFERROR(VLOOKUP($B15,자재리스트!$B$4:$M$92,10,FALSE),)</f>
        <v>여의시스템</v>
      </c>
      <c r="N15" s="27" t="str">
        <f>IFERROR(VLOOKUP($B15,자재리스트!$B$4:$M$92,11,FALSE),)</f>
        <v>거래명세서</v>
      </c>
      <c r="O15" s="27" t="str">
        <f>IFERROR(VLOOKUP($B15,자재리스트!$B$4:$M$92,12,FALSE),)</f>
        <v xml:space="preserve"> - </v>
      </c>
    </row>
    <row r="16" spans="1:16" ht="25.25" customHeight="1" x14ac:dyDescent="0.45">
      <c r="A16" s="26">
        <v>6</v>
      </c>
      <c r="B16" s="27" t="s">
        <v>66</v>
      </c>
      <c r="C16" s="28" t="str">
        <f>IFERROR(VLOOKUP($B16,자재리스트!$B$4:$M$92,2,FALSE),)</f>
        <v>NAS camera housing</v>
      </c>
      <c r="D16" s="27"/>
      <c r="E16" s="27" t="str">
        <f>IFERROR(VLOOKUP($B16,자재리스트!$B$4:$M$92,4,FALSE),)</f>
        <v>하우징</v>
      </c>
      <c r="F16" s="27" t="str">
        <f>IFERROR(VLOOKUP($B16,자재리스트!$B$4:$M$92,5,FALSE),)</f>
        <v xml:space="preserve"> - </v>
      </c>
      <c r="G16" s="27" t="str">
        <f>IFERROR(VLOOKUP($B16,자재리스트!$B$4:$M$92,6,FALSE),)</f>
        <v>한국</v>
      </c>
      <c r="H16" s="27" t="str">
        <f>IFERROR(VLOOKUP($B16,자재리스트!$B$4:$M$92,7,FALSE),)</f>
        <v>개</v>
      </c>
      <c r="I16" s="29">
        <v>1</v>
      </c>
      <c r="J16" s="29" t="str">
        <f>IFERROR(VLOOKUP($B16,자재리스트!$B$4:$M$92,8,FALSE),)</f>
        <v>KRW</v>
      </c>
      <c r="K16" s="29">
        <f>IFERROR(VLOOKUP($B16,자재리스트!$B$4:$M$92,9,FALSE),)</f>
        <v>4300000</v>
      </c>
      <c r="L16" s="29">
        <f>I16*K16</f>
        <v>4300000</v>
      </c>
      <c r="M16" s="27" t="str">
        <f>IFERROR(VLOOKUP($B16,자재리스트!$B$4:$M$92,10,FALSE),)</f>
        <v>MRC</v>
      </c>
      <c r="N16" s="27" t="str">
        <f>IFERROR(VLOOKUP($B16,자재리스트!$B$4:$M$92,11,FALSE),)</f>
        <v>거래명세서</v>
      </c>
      <c r="O16" s="27" t="str">
        <f>IFERROR(VLOOKUP($B16,자재리스트!$B$4:$M$92,12,FALSE),)</f>
        <v xml:space="preserve"> - </v>
      </c>
    </row>
    <row r="17" spans="1:15" ht="25.25" customHeight="1" x14ac:dyDescent="0.45">
      <c r="A17" s="26">
        <v>7</v>
      </c>
      <c r="B17" s="27" t="s">
        <v>67</v>
      </c>
      <c r="C17" s="28" t="str">
        <f>IFERROR(VLOOKUP($B17,자재리스트!$B$4:$M$92,2,FALSE),)</f>
        <v>EO Camera</v>
      </c>
      <c r="D17" s="27"/>
      <c r="E17" s="27" t="str">
        <f>IFERROR(VLOOKUP($B17,자재리스트!$B$4:$M$92,4,FALSE),)</f>
        <v>광학 카메라(4K)</v>
      </c>
      <c r="F17" s="27" t="str">
        <f>IFERROR(VLOOKUP($B17,자재리스트!$B$4:$M$92,5,FALSE),)</f>
        <v xml:space="preserve"> - </v>
      </c>
      <c r="G17" s="27" t="str">
        <f>IFERROR(VLOOKUP($B17,자재리스트!$B$4:$M$92,6,FALSE),)</f>
        <v>인도</v>
      </c>
      <c r="H17" s="27" t="str">
        <f>IFERROR(VLOOKUP($B17,자재리스트!$B$4:$M$92,7,FALSE),)</f>
        <v>개</v>
      </c>
      <c r="I17" s="29">
        <v>3</v>
      </c>
      <c r="J17" s="29" t="str">
        <f>IFERROR(VLOOKUP($B17,자재리스트!$B$4:$M$92,8,FALSE),)</f>
        <v>KRW</v>
      </c>
      <c r="K17" s="29">
        <f>IFERROR(VLOOKUP($B17,자재리스트!$B$4:$M$92,9,FALSE),)</f>
        <v>532576</v>
      </c>
      <c r="L17" s="29">
        <f t="shared" si="0"/>
        <v>1597728</v>
      </c>
      <c r="M17" s="27" t="str">
        <f>IFERROR(VLOOKUP($B17,자재리스트!$B$4:$M$92,10,FALSE),)</f>
        <v>사이더스/e-con</v>
      </c>
      <c r="N17" s="27" t="str">
        <f>IFERROR(VLOOKUP($B17,자재리스트!$B$4:$M$92,11,FALSE),)</f>
        <v>거래명세서</v>
      </c>
      <c r="O17" s="27" t="str">
        <f>IFERROR(VLOOKUP($B17,자재리스트!$B$4:$M$92,12,FALSE),)</f>
        <v>w. GMSL cable</v>
      </c>
    </row>
    <row r="18" spans="1:15" ht="25.25" customHeight="1" x14ac:dyDescent="0.45">
      <c r="A18" s="26">
        <v>8</v>
      </c>
      <c r="B18" s="27" t="s">
        <v>68</v>
      </c>
      <c r="C18" s="28" t="str">
        <f>IFERROR(VLOOKUP($B18,자재리스트!$B$4:$M$92,2,FALSE),)</f>
        <v>IR camera</v>
      </c>
      <c r="D18" s="27"/>
      <c r="E18" s="27" t="str">
        <f>IFERROR(VLOOKUP($B18,자재리스트!$B$4:$M$92,4,FALSE),)</f>
        <v>열화상 카메라</v>
      </c>
      <c r="F18" s="27" t="str">
        <f>IFERROR(VLOOKUP($B18,자재리스트!$B$4:$M$92,5,FALSE),)</f>
        <v xml:space="preserve"> - </v>
      </c>
      <c r="G18" s="27" t="str">
        <f>IFERROR(VLOOKUP($B18,자재리스트!$B$4:$M$92,6,FALSE),)</f>
        <v>미국</v>
      </c>
      <c r="H18" s="27" t="str">
        <f>IFERROR(VLOOKUP($B18,자재리스트!$B$4:$M$92,7,FALSE),)</f>
        <v>개</v>
      </c>
      <c r="I18" s="29">
        <v>3</v>
      </c>
      <c r="J18" s="29" t="str">
        <f>IFERROR(VLOOKUP($B18,자재리스트!$B$4:$M$92,8,FALSE),)</f>
        <v>KRW</v>
      </c>
      <c r="K18" s="29">
        <f>IFERROR(VLOOKUP($B18,자재리스트!$B$4:$M$92,9,FALSE),)</f>
        <v>2487523</v>
      </c>
      <c r="L18" s="29">
        <f t="shared" si="0"/>
        <v>7462569</v>
      </c>
      <c r="M18" s="27" t="str">
        <f>IFERROR(VLOOKUP($B18,자재리스트!$B$4:$M$92,10,FALSE),)</f>
        <v>IRKEN/FLIR</v>
      </c>
      <c r="N18" s="27" t="str">
        <f>IFERROR(VLOOKUP($B18,자재리스트!$B$4:$M$92,11,FALSE),)</f>
        <v>거래명세서</v>
      </c>
      <c r="O18" s="27" t="str">
        <f>IFERROR(VLOOKUP($B18,자재리스트!$B$4:$M$92,12,FALSE),)</f>
        <v>w. VPC KIT</v>
      </c>
    </row>
    <row r="19" spans="1:15" ht="25.25" customHeight="1" x14ac:dyDescent="0.45">
      <c r="A19" s="26">
        <v>9</v>
      </c>
      <c r="B19" s="27" t="s">
        <v>69</v>
      </c>
      <c r="C19" s="28" t="str">
        <f>IFERROR(VLOOKUP($B19,자재리스트!$B$4:$M$92,2,FALSE),)</f>
        <v>IR camera window</v>
      </c>
      <c r="D19" s="27"/>
      <c r="E19" s="27" t="str">
        <f>IFERROR(VLOOKUP($B19,자재리스트!$B$4:$M$92,4,FALSE),)</f>
        <v>열화상 카메라 윈도우</v>
      </c>
      <c r="F19" s="27" t="str">
        <f>IFERROR(VLOOKUP($B19,자재리스트!$B$4:$M$92,5,FALSE),)</f>
        <v xml:space="preserve"> - </v>
      </c>
      <c r="G19" s="27" t="str">
        <f>IFERROR(VLOOKUP($B19,자재리스트!$B$4:$M$92,6,FALSE),)</f>
        <v>중국</v>
      </c>
      <c r="H19" s="27" t="str">
        <f>IFERROR(VLOOKUP($B19,자재리스트!$B$4:$M$92,7,FALSE),)</f>
        <v>개</v>
      </c>
      <c r="I19" s="29">
        <v>3</v>
      </c>
      <c r="J19" s="29" t="str">
        <f>IFERROR(VLOOKUP($B19,자재리스트!$B$4:$M$92,8,FALSE),)</f>
        <v>KRW</v>
      </c>
      <c r="K19" s="29">
        <f>IFERROR(VLOOKUP($B19,자재리스트!$B$4:$M$92,9,FALSE),)</f>
        <v>220965</v>
      </c>
      <c r="L19" s="29">
        <f t="shared" si="0"/>
        <v>662895</v>
      </c>
      <c r="M19" s="27" t="str">
        <f>IFERROR(VLOOKUP($B19,자재리스트!$B$4:$M$92,10,FALSE),)</f>
        <v>센서캠</v>
      </c>
      <c r="N19" s="27" t="str">
        <f>IFERROR(VLOOKUP($B19,자재리스트!$B$4:$M$92,11,FALSE),)</f>
        <v>거래명세서</v>
      </c>
      <c r="O19" s="27" t="str">
        <f>IFERROR(VLOOKUP($B19,자재리스트!$B$4:$M$92,12,FALSE),)</f>
        <v>1세대 용 (직경 42mm)</v>
      </c>
    </row>
    <row r="20" spans="1:15" ht="25.25" customHeight="1" x14ac:dyDescent="0.45">
      <c r="A20" s="26">
        <v>10</v>
      </c>
      <c r="B20" s="27" t="s">
        <v>70</v>
      </c>
      <c r="C20" s="28" t="str">
        <f>IFERROR(VLOOKUP($B20,자재리스트!$B$4:$M$92,2,FALSE),)</f>
        <v>NAS junction box</v>
      </c>
      <c r="D20" s="27"/>
      <c r="E20" s="27" t="str">
        <f>IFERROR(VLOOKUP($B20,자재리스트!$B$4:$M$92,4,FALSE),)</f>
        <v>정션박스</v>
      </c>
      <c r="F20" s="27" t="str">
        <f>IFERROR(VLOOKUP($B20,자재리스트!$B$4:$M$92,5,FALSE),)</f>
        <v xml:space="preserve"> - </v>
      </c>
      <c r="G20" s="27" t="str">
        <f>IFERROR(VLOOKUP($B20,자재리스트!$B$4:$M$92,6,FALSE),)</f>
        <v>한국</v>
      </c>
      <c r="H20" s="27" t="str">
        <f>IFERROR(VLOOKUP($B20,자재리스트!$B$4:$M$92,7,FALSE),)</f>
        <v>개</v>
      </c>
      <c r="I20" s="29">
        <v>1</v>
      </c>
      <c r="J20" s="29" t="str">
        <f>IFERROR(VLOOKUP($B20,자재리스트!$B$4:$M$92,8,FALSE),)</f>
        <v>KRW</v>
      </c>
      <c r="K20" s="29">
        <f>IFERROR(VLOOKUP($B20,자재리스트!$B$4:$M$92,9,FALSE),)</f>
        <v>1000000</v>
      </c>
      <c r="L20" s="29">
        <f t="shared" si="0"/>
        <v>1000000</v>
      </c>
      <c r="M20" s="27" t="str">
        <f>IFERROR(VLOOKUP($B20,자재리스트!$B$4:$M$92,10,FALSE),)</f>
        <v>MRC</v>
      </c>
      <c r="N20" s="27" t="str">
        <f>IFERROR(VLOOKUP($B20,자재리스트!$B$4:$M$92,11,FALSE),)</f>
        <v>거래명세서</v>
      </c>
      <c r="O20" s="27" t="str">
        <f>IFERROR(VLOOKUP($B20,자재리스트!$B$4:$M$92,12,FALSE),)</f>
        <v xml:space="preserve"> - </v>
      </c>
    </row>
    <row r="21" spans="1:15" ht="25.25" customHeight="1" x14ac:dyDescent="0.45">
      <c r="A21" s="26">
        <v>11</v>
      </c>
      <c r="B21" s="27" t="s">
        <v>71</v>
      </c>
      <c r="C21" s="28" t="str">
        <f>IFERROR(VLOOKUP($B21,자재리스트!$B$4:$M$92,2,FALSE),)</f>
        <v>Single Board Computer</v>
      </c>
      <c r="D21" s="27"/>
      <c r="E21" s="27" t="str">
        <f>IFERROR(VLOOKUP($B21,자재리스트!$B$4:$M$92,4,FALSE),)</f>
        <v>카메라와 서버 연동</v>
      </c>
      <c r="F21" s="27" t="str">
        <f>IFERROR(VLOOKUP($B21,자재리스트!$B$4:$M$92,5,FALSE),)</f>
        <v xml:space="preserve"> - </v>
      </c>
      <c r="G21" s="27" t="str">
        <f>IFERROR(VLOOKUP($B21,자재리스트!$B$4:$M$92,6,FALSE),)</f>
        <v>인도</v>
      </c>
      <c r="H21" s="27" t="str">
        <f>IFERROR(VLOOKUP($B21,자재리스트!$B$4:$M$92,7,FALSE),)</f>
        <v>개</v>
      </c>
      <c r="I21" s="29">
        <v>1</v>
      </c>
      <c r="J21" s="29" t="str">
        <f>IFERROR(VLOOKUP($B21,자재리스트!$B$4:$M$92,8,FALSE),)</f>
        <v>KRW</v>
      </c>
      <c r="K21" s="29">
        <f>IFERROR(VLOOKUP($B21,자재리스트!$B$4:$M$92,9,FALSE),)</f>
        <v>4508312</v>
      </c>
      <c r="L21" s="29">
        <f>I21*K21</f>
        <v>4508312</v>
      </c>
      <c r="M21" s="27" t="str">
        <f>IFERROR(VLOOKUP($B21,자재리스트!$B$4:$M$92,10,FALSE),)</f>
        <v>사이더스/e-con</v>
      </c>
      <c r="N21" s="27" t="str">
        <f>IFERROR(VLOOKUP($B21,자재리스트!$B$4:$M$92,11,FALSE),)</f>
        <v>거래명세서</v>
      </c>
      <c r="O21" s="27" t="str">
        <f>IFERROR(VLOOKUP($B21,자재리스트!$B$4:$M$92,12,FALSE),)</f>
        <v xml:space="preserve"> - </v>
      </c>
    </row>
    <row r="22" spans="1:15" ht="25.25" customHeight="1" x14ac:dyDescent="0.45">
      <c r="A22" s="26">
        <v>12</v>
      </c>
      <c r="B22" s="27" t="s">
        <v>83</v>
      </c>
      <c r="C22" s="28" t="str">
        <f>IFERROR(VLOOKUP($B22,자재리스트!$B$4:$M$92,2,FALSE),)</f>
        <v>SMPS</v>
      </c>
      <c r="D22" s="27"/>
      <c r="E22" s="27" t="str">
        <f>IFERROR(VLOOKUP($B22,자재리스트!$B$4:$M$92,4,FALSE),)</f>
        <v>Single Board Computer  전원 공급</v>
      </c>
      <c r="F22" s="27" t="str">
        <f>IFERROR(VLOOKUP($B22,자재리스트!$B$4:$M$92,5,FALSE),)</f>
        <v xml:space="preserve"> - </v>
      </c>
      <c r="G22" s="27" t="str">
        <f>IFERROR(VLOOKUP($B22,자재리스트!$B$4:$M$92,6,FALSE),)</f>
        <v>한국</v>
      </c>
      <c r="H22" s="27" t="str">
        <f>IFERROR(VLOOKUP($B22,자재리스트!$B$4:$M$92,7,FALSE),)</f>
        <v>개</v>
      </c>
      <c r="I22" s="29">
        <v>1</v>
      </c>
      <c r="J22" s="29" t="str">
        <f>IFERROR(VLOOKUP($B22,자재리스트!$B$4:$M$92,8,FALSE),)</f>
        <v>KRW</v>
      </c>
      <c r="K22" s="29">
        <f>IFERROR(VLOOKUP($B22,자재리스트!$B$4:$M$92,9,FALSE),)</f>
        <v>150000</v>
      </c>
      <c r="L22" s="29">
        <f t="shared" ref="L22:L23" si="1">I22*K22</f>
        <v>150000</v>
      </c>
      <c r="M22" s="27" t="str">
        <f>IFERROR(VLOOKUP($B22,자재리스트!$B$4:$M$92,10,FALSE),)</f>
        <v>파워캅</v>
      </c>
      <c r="N22" s="27" t="str">
        <f>IFERROR(VLOOKUP($B22,자재리스트!$B$4:$M$92,11,FALSE),)</f>
        <v>거래명세서</v>
      </c>
      <c r="O22" s="27" t="str">
        <f>IFERROR(VLOOKUP($B22,자재리스트!$B$4:$M$92,12,FALSE),)</f>
        <v xml:space="preserve"> - </v>
      </c>
    </row>
    <row r="23" spans="1:15" ht="25.25" customHeight="1" x14ac:dyDescent="0.45">
      <c r="A23" s="26">
        <v>13</v>
      </c>
      <c r="B23" s="27" t="s">
        <v>84</v>
      </c>
      <c r="C23" s="28" t="str">
        <f>IFERROR(VLOOKUP($B23,자재리스트!$B$4:$M$92,2,FALSE),)</f>
        <v>EMI/EMC filter</v>
      </c>
      <c r="D23" s="27"/>
      <c r="E23" s="27" t="str">
        <f>IFERROR(VLOOKUP($B23,자재리스트!$B$4:$M$92,4,FALSE),)</f>
        <v>정션박스 전자파 차폐용</v>
      </c>
      <c r="F23" s="27" t="str">
        <f>IFERROR(VLOOKUP($B23,자재리스트!$B$4:$M$92,5,FALSE),)</f>
        <v xml:space="preserve"> - </v>
      </c>
      <c r="G23" s="27" t="str">
        <f>IFERROR(VLOOKUP($B23,자재리스트!$B$4:$M$92,6,FALSE),)</f>
        <v>한국</v>
      </c>
      <c r="H23" s="27" t="str">
        <f>IFERROR(VLOOKUP($B23,자재리스트!$B$4:$M$92,7,FALSE),)</f>
        <v>개</v>
      </c>
      <c r="I23" s="29">
        <v>1</v>
      </c>
      <c r="J23" s="29" t="str">
        <f>IFERROR(VLOOKUP($B23,자재리스트!$B$4:$M$92,8,FALSE),)</f>
        <v>KRW</v>
      </c>
      <c r="K23" s="29">
        <f>IFERROR(VLOOKUP($B23,자재리스트!$B$4:$M$92,9,FALSE),)</f>
        <v>77000</v>
      </c>
      <c r="L23" s="29">
        <f t="shared" si="1"/>
        <v>77000</v>
      </c>
      <c r="M23" s="27" t="str">
        <f>IFERROR(VLOOKUP($B23,자재리스트!$B$4:$M$92,10,FALSE),)</f>
        <v>오키</v>
      </c>
      <c r="N23" s="27" t="str">
        <f>IFERROR(VLOOKUP($B23,자재리스트!$B$4:$M$92,11,FALSE),)</f>
        <v>거래명세서</v>
      </c>
      <c r="O23" s="27" t="str">
        <f>IFERROR(VLOOKUP($B23,자재리스트!$B$4:$M$92,12,FALSE),)</f>
        <v xml:space="preserve"> - </v>
      </c>
    </row>
    <row r="24" spans="1:15" ht="25.25" customHeight="1" x14ac:dyDescent="0.45">
      <c r="A24" s="26">
        <v>14</v>
      </c>
      <c r="B24" s="27" t="s">
        <v>75</v>
      </c>
      <c r="C24" s="28" t="str">
        <f>IFERROR(VLOOKUP($B24,자재리스트!$B$4:$M$92,2,FALSE),)</f>
        <v>UPS</v>
      </c>
      <c r="D24" s="27"/>
      <c r="E24" s="27" t="str">
        <f>IFERROR(VLOOKUP($B24,자재리스트!$B$4:$M$92,4,FALSE),)</f>
        <v>1kVA, 무정전 전원 공급, Stand type</v>
      </c>
      <c r="F24" s="27" t="str">
        <f>IFERROR(VLOOKUP($B24,자재리스트!$B$4:$M$92,5,FALSE),)</f>
        <v xml:space="preserve"> - </v>
      </c>
      <c r="G24" s="27" t="str">
        <f>IFERROR(VLOOKUP($B24,자재리스트!$B$4:$M$92,6,FALSE),)</f>
        <v>한국</v>
      </c>
      <c r="H24" s="27" t="str">
        <f>IFERROR(VLOOKUP($B24,자재리스트!$B$4:$M$92,7,FALSE),)</f>
        <v>개</v>
      </c>
      <c r="I24" s="29">
        <v>1</v>
      </c>
      <c r="J24" s="29" t="str">
        <f>IFERROR(VLOOKUP($B24,자재리스트!$B$4:$M$92,8,FALSE),)</f>
        <v>KRW</v>
      </c>
      <c r="K24" s="29">
        <f>IFERROR(VLOOKUP($B24,자재리스트!$B$4:$M$92,9,FALSE),)</f>
        <v>1325500</v>
      </c>
      <c r="L24" s="29">
        <f t="shared" si="0"/>
        <v>1325500</v>
      </c>
      <c r="M24" s="27" t="str">
        <f>IFERROR(VLOOKUP($B24,자재리스트!$B$4:$M$92,10,FALSE),)</f>
        <v>기호티이에스</v>
      </c>
      <c r="N24" s="27" t="str">
        <f>IFERROR(VLOOKUP($B24,자재리스트!$B$4:$M$92,11,FALSE),)</f>
        <v>거래명세서</v>
      </c>
      <c r="O24" s="27" t="str">
        <f>IFERROR(VLOOKUP($B24,자재리스트!$B$4:$M$92,12,FALSE),)</f>
        <v>마린필터, network card, 케이블 포함</v>
      </c>
    </row>
    <row r="25" spans="1:15" ht="25.25" customHeight="1" x14ac:dyDescent="0.45">
      <c r="A25" s="26">
        <v>15</v>
      </c>
      <c r="B25" s="27" t="s">
        <v>76</v>
      </c>
      <c r="C25" s="28" t="str">
        <f>IFERROR(VLOOKUP($B25,자재리스트!$B$4:$M$92,2,FALSE),)</f>
        <v>멀티탭</v>
      </c>
      <c r="D25" s="27"/>
      <c r="E25" s="27" t="str">
        <f>IFERROR(VLOOKUP($B25,자재리스트!$B$4:$M$92,4,FALSE),)</f>
        <v>UPS용</v>
      </c>
      <c r="F25" s="27" t="str">
        <f>IFERROR(VLOOKUP($B25,자재리스트!$B$4:$M$92,5,FALSE),)</f>
        <v xml:space="preserve"> - </v>
      </c>
      <c r="G25" s="27" t="str">
        <f>IFERROR(VLOOKUP($B25,자재리스트!$B$4:$M$92,6,FALSE),)</f>
        <v>한국</v>
      </c>
      <c r="H25" s="27" t="str">
        <f>IFERROR(VLOOKUP($B25,자재리스트!$B$4:$M$92,7,FALSE),)</f>
        <v>개</v>
      </c>
      <c r="I25" s="29">
        <v>2</v>
      </c>
      <c r="J25" s="29" t="str">
        <f>IFERROR(VLOOKUP($B25,자재리스트!$B$4:$M$92,8,FALSE),)</f>
        <v>KRW</v>
      </c>
      <c r="K25" s="29">
        <f>IFERROR(VLOOKUP($B25,자재리스트!$B$4:$M$92,9,FALSE),)</f>
        <v>10800</v>
      </c>
      <c r="L25" s="29">
        <f t="shared" si="0"/>
        <v>21600</v>
      </c>
      <c r="M25" s="27" t="str">
        <f>IFERROR(VLOOKUP($B25,자재리스트!$B$4:$M$92,10,FALSE),)</f>
        <v>쿠팡</v>
      </c>
      <c r="N25" s="27" t="str">
        <f>IFERROR(VLOOKUP($B25,자재리스트!$B$4:$M$92,11,FALSE),)</f>
        <v>거래명세서</v>
      </c>
      <c r="O25" s="27" t="str">
        <f>IFERROR(VLOOKUP($B25,자재리스트!$B$4:$M$92,12,FALSE),)</f>
        <v xml:space="preserve"> - </v>
      </c>
    </row>
    <row r="26" spans="1:15" ht="25.25" customHeight="1" x14ac:dyDescent="0.45">
      <c r="A26" s="26">
        <v>16</v>
      </c>
      <c r="B26" s="27" t="s">
        <v>77</v>
      </c>
      <c r="C26" s="28" t="str">
        <f>IFERROR(VLOOKUP($B26,자재리스트!$B$4:$M$92,2,FALSE),)</f>
        <v>C13-C14(MALE)</v>
      </c>
      <c r="D26" s="27"/>
      <c r="E26" s="27" t="str">
        <f>IFERROR(VLOOKUP($B26,자재리스트!$B$4:$M$92,4,FALSE),)</f>
        <v>UPS용</v>
      </c>
      <c r="F26" s="27" t="str">
        <f>IFERROR(VLOOKUP($B26,자재리스트!$B$4:$M$92,5,FALSE),)</f>
        <v xml:space="preserve"> - </v>
      </c>
      <c r="G26" s="27" t="str">
        <f>IFERROR(VLOOKUP($B26,자재리스트!$B$4:$M$92,6,FALSE),)</f>
        <v>한국</v>
      </c>
      <c r="H26" s="27" t="str">
        <f>IFERROR(VLOOKUP($B26,자재리스트!$B$4:$M$92,7,FALSE),)</f>
        <v>개</v>
      </c>
      <c r="I26" s="29">
        <v>3</v>
      </c>
      <c r="J26" s="29" t="str">
        <f>IFERROR(VLOOKUP($B26,자재리스트!$B$4:$M$92,8,FALSE),)</f>
        <v>KRW</v>
      </c>
      <c r="K26" s="29">
        <f>IFERROR(VLOOKUP($B26,자재리스트!$B$4:$M$92,9,FALSE),)</f>
        <v>9900</v>
      </c>
      <c r="L26" s="29">
        <f t="shared" si="0"/>
        <v>29700</v>
      </c>
      <c r="M26" s="27" t="str">
        <f>IFERROR(VLOOKUP($B26,자재리스트!$B$4:$M$92,10,FALSE),)</f>
        <v>한주전자</v>
      </c>
      <c r="N26" s="27" t="str">
        <f>IFERROR(VLOOKUP($B26,자재리스트!$B$4:$M$92,11,FALSE),)</f>
        <v>거래명세서</v>
      </c>
      <c r="O26" s="27" t="str">
        <f>IFERROR(VLOOKUP($B26,자재리스트!$B$4:$M$92,12,FALSE),)</f>
        <v xml:space="preserve"> - </v>
      </c>
    </row>
    <row r="28" spans="1:15" ht="17.5" x14ac:dyDescent="0.45">
      <c r="C28" s="120" t="s">
        <v>78</v>
      </c>
      <c r="D28" s="120"/>
      <c r="E28" s="120"/>
      <c r="F28" s="120"/>
      <c r="G28" s="120"/>
      <c r="H28" s="120"/>
      <c r="I28" s="120"/>
      <c r="J28" s="120"/>
      <c r="K28" s="120"/>
      <c r="L28" s="120"/>
      <c r="M28" s="120"/>
      <c r="N28" s="120"/>
      <c r="O28" s="120"/>
    </row>
    <row r="29" spans="1:15" ht="17.5" x14ac:dyDescent="0.45">
      <c r="C29" s="120" t="s">
        <v>79</v>
      </c>
      <c r="D29" s="120"/>
      <c r="E29" s="120"/>
      <c r="F29" s="120"/>
      <c r="G29" s="120"/>
      <c r="H29" s="120"/>
      <c r="I29" s="120"/>
      <c r="J29" s="120"/>
      <c r="K29" s="120"/>
      <c r="L29" s="120"/>
      <c r="M29" s="120"/>
      <c r="N29" s="120"/>
      <c r="O29" s="120"/>
    </row>
  </sheetData>
  <mergeCells count="4">
    <mergeCell ref="A2:O2"/>
    <mergeCell ref="C10:D10"/>
    <mergeCell ref="C28:O28"/>
    <mergeCell ref="C29:O29"/>
  </mergeCells>
  <phoneticPr fontId="3" type="noConversion"/>
  <printOptions horizontalCentered="1"/>
  <pageMargins left="0.70866141732283472" right="0.70866141732283472" top="0.74803149606299213" bottom="0.74803149606299213" header="0.31496062992125984" footer="0.31496062992125984"/>
  <pageSetup paperSize="9" scale="70" fitToHeight="0" orientation="landscape" r:id="rId1"/>
  <headerFooter>
    <oddFooter>&amp;L_x000D_&amp;1#&amp;"Calibri"&amp;9&amp;K000000 Confidential | AVIKUS – Unauthorized distribution is strictly prohibited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DD542-70FF-4283-9462-C2268F1AC745}">
  <sheetPr>
    <tabColor rgb="FFFF0000"/>
    <pageSetUpPr fitToPage="1"/>
  </sheetPr>
  <dimension ref="A2:S35"/>
  <sheetViews>
    <sheetView showGridLines="0" view="pageBreakPreview" topLeftCell="A7" zoomScale="85" zoomScaleNormal="100" zoomScaleSheetLayoutView="85" workbookViewId="0">
      <selection activeCell="J20" sqref="J20"/>
    </sheetView>
  </sheetViews>
  <sheetFormatPr defaultColWidth="10" defaultRowHeight="17" x14ac:dyDescent="0.45"/>
  <cols>
    <col min="1" max="1" width="6.4140625" style="16" customWidth="1"/>
    <col min="2" max="2" width="13.5" style="16" customWidth="1"/>
    <col min="3" max="3" width="2.08203125" style="16" customWidth="1"/>
    <col min="4" max="5" width="20" style="16" customWidth="1"/>
    <col min="6" max="9" width="10" style="16"/>
    <col min="10" max="10" width="7" style="16" bestFit="1" customWidth="1"/>
    <col min="11" max="12" width="10" style="16"/>
    <col min="13" max="13" width="16.1640625" style="16" customWidth="1"/>
    <col min="14" max="14" width="14.5" style="16" customWidth="1"/>
    <col min="15" max="15" width="13" style="16" customWidth="1"/>
    <col min="16" max="16384" width="10" style="16"/>
  </cols>
  <sheetData>
    <row r="2" spans="1:19" ht="30" x14ac:dyDescent="0.45">
      <c r="A2" s="117" t="s">
        <v>38</v>
      </c>
      <c r="B2" s="117"/>
      <c r="C2" s="117"/>
      <c r="D2" s="117"/>
      <c r="E2" s="117"/>
      <c r="F2" s="117"/>
      <c r="G2" s="117"/>
      <c r="H2" s="117"/>
      <c r="I2" s="117"/>
      <c r="J2" s="117"/>
      <c r="K2" s="117"/>
      <c r="L2" s="117"/>
      <c r="M2" s="117"/>
      <c r="N2" s="117"/>
      <c r="O2" s="117"/>
    </row>
    <row r="3" spans="1:19" x14ac:dyDescent="0.45">
      <c r="C3" s="16" t="s">
        <v>39</v>
      </c>
    </row>
    <row r="4" spans="1:19" ht="21" customHeight="1" x14ac:dyDescent="0.45">
      <c r="A4" s="18" t="s">
        <v>40</v>
      </c>
      <c r="B4" s="19"/>
      <c r="C4" s="19" t="s">
        <v>41</v>
      </c>
      <c r="D4" s="20" t="s">
        <v>35</v>
      </c>
      <c r="E4" s="21"/>
      <c r="F4" s="21"/>
      <c r="G4" s="21"/>
      <c r="H4" s="21"/>
      <c r="I4" s="21"/>
      <c r="J4" s="21"/>
      <c r="K4" s="21"/>
      <c r="L4" s="21"/>
      <c r="M4" s="21"/>
      <c r="N4" s="21"/>
      <c r="O4" s="21"/>
    </row>
    <row r="5" spans="1:19" ht="21" customHeight="1" x14ac:dyDescent="0.45">
      <c r="A5" s="21" t="s">
        <v>43</v>
      </c>
      <c r="C5" s="16" t="s">
        <v>41</v>
      </c>
      <c r="E5" s="21"/>
      <c r="F5" s="21"/>
      <c r="G5" s="21"/>
      <c r="H5" s="21"/>
      <c r="I5" s="21"/>
      <c r="J5" s="21"/>
      <c r="K5" s="21"/>
      <c r="L5" s="21"/>
      <c r="M5" s="21"/>
      <c r="N5" s="21"/>
      <c r="O5" s="21"/>
    </row>
    <row r="6" spans="1:19" ht="21" customHeight="1" x14ac:dyDescent="0.45">
      <c r="A6" s="21" t="s">
        <v>44</v>
      </c>
      <c r="C6" s="16" t="s">
        <v>41</v>
      </c>
      <c r="E6" s="21"/>
      <c r="F6" s="21"/>
      <c r="G6" s="21"/>
      <c r="H6" s="21"/>
      <c r="I6" s="21"/>
      <c r="J6" s="21"/>
      <c r="K6" s="21"/>
      <c r="L6" s="21"/>
      <c r="M6" s="21"/>
      <c r="N6" s="21"/>
      <c r="O6" s="21"/>
    </row>
    <row r="7" spans="1:19" ht="21" customHeight="1" x14ac:dyDescent="0.45">
      <c r="A7" s="21" t="s">
        <v>45</v>
      </c>
      <c r="C7" s="16" t="s">
        <v>41</v>
      </c>
      <c r="E7" s="21"/>
      <c r="F7" s="21" t="s">
        <v>39</v>
      </c>
      <c r="G7" s="21"/>
      <c r="H7" s="21"/>
      <c r="I7" s="21"/>
      <c r="J7" s="21"/>
      <c r="K7" s="21"/>
      <c r="L7" s="21"/>
      <c r="M7" s="21"/>
      <c r="N7" s="21"/>
      <c r="O7" s="21"/>
    </row>
    <row r="8" spans="1:19" ht="21" customHeight="1" x14ac:dyDescent="0.45">
      <c r="A8" s="21" t="s">
        <v>46</v>
      </c>
      <c r="E8" s="21"/>
      <c r="F8" s="21"/>
      <c r="G8" s="21"/>
      <c r="H8" s="21"/>
      <c r="I8" s="21"/>
      <c r="J8" s="21"/>
      <c r="K8" s="21"/>
      <c r="L8" s="21"/>
      <c r="M8" s="21"/>
      <c r="N8" s="21"/>
      <c r="O8" s="21"/>
    </row>
    <row r="9" spans="1:19" ht="6" customHeight="1" x14ac:dyDescent="0.45"/>
    <row r="10" spans="1:19" ht="34" x14ac:dyDescent="0.45">
      <c r="A10" s="23" t="s">
        <v>47</v>
      </c>
      <c r="B10" s="24" t="s">
        <v>48</v>
      </c>
      <c r="C10" s="118" t="s">
        <v>49</v>
      </c>
      <c r="D10" s="119"/>
      <c r="E10" s="24" t="s">
        <v>50</v>
      </c>
      <c r="F10" s="25" t="s">
        <v>51</v>
      </c>
      <c r="G10" s="24" t="s">
        <v>52</v>
      </c>
      <c r="H10" s="24" t="s">
        <v>53</v>
      </c>
      <c r="I10" s="24" t="s">
        <v>54</v>
      </c>
      <c r="J10" s="24" t="s">
        <v>55</v>
      </c>
      <c r="K10" s="24" t="s">
        <v>57</v>
      </c>
      <c r="L10" s="24" t="s">
        <v>58</v>
      </c>
      <c r="M10" s="24" t="s">
        <v>60</v>
      </c>
      <c r="N10" s="24" t="s">
        <v>61</v>
      </c>
      <c r="O10" s="24" t="s">
        <v>62</v>
      </c>
    </row>
    <row r="11" spans="1:19" ht="25.25" customHeight="1" x14ac:dyDescent="0.45">
      <c r="A11" s="26">
        <v>1</v>
      </c>
      <c r="B11" s="27" t="s">
        <v>81</v>
      </c>
      <c r="C11" s="28" t="str">
        <f>IFERROR(VLOOKUP($B11,자재리스트!$B$4:$M$92,2,FALSE),)</f>
        <v>Monitor</v>
      </c>
      <c r="D11" s="27"/>
      <c r="E11" s="27" t="str">
        <f>IFERROR(VLOOKUP($B11,자재리스트!$B$4:$M$92,4,FALSE),)</f>
        <v>DOM 58.4인치 모니터</v>
      </c>
      <c r="F11" s="27" t="str">
        <f>IFERROR(VLOOKUP($B11,자재리스트!$B$4:$M$92,5,FALSE),)</f>
        <v xml:space="preserve"> - </v>
      </c>
      <c r="G11" s="27" t="str">
        <f>IFERROR(VLOOKUP($B11,자재리스트!$B$4:$M$92,6,FALSE),)</f>
        <v>한국</v>
      </c>
      <c r="H11" s="27" t="str">
        <f>IFERROR(VLOOKUP($B11,자재리스트!$B$4:$M$92,7,FALSE),)</f>
        <v>개</v>
      </c>
      <c r="I11" s="29">
        <v>1</v>
      </c>
      <c r="J11" s="29" t="str">
        <f>IFERROR(VLOOKUP($B11,자재리스트!$B$4:$M$92,8,FALSE),)</f>
        <v>KRW</v>
      </c>
      <c r="K11" s="29">
        <f>IFERROR(VLOOKUP($B11,자재리스트!$B$4:$M$92,9,FALSE),)</f>
        <v>6540000</v>
      </c>
      <c r="L11" s="29">
        <f>I11*K11</f>
        <v>6540000</v>
      </c>
      <c r="M11" s="27" t="str">
        <f>IFERROR(VLOOKUP($B11,자재리스트!$B$4:$M$92,10,FALSE),)</f>
        <v>MRC/테트라다인</v>
      </c>
      <c r="N11" s="27" t="str">
        <f>IFERROR(VLOOKUP($B11,자재리스트!$B$4:$M$92,11,FALSE),)</f>
        <v>거래명세서</v>
      </c>
      <c r="O11" s="27" t="str">
        <f>IFERROR(VLOOKUP($B11,자재리스트!$B$4:$M$92,12,FALSE),)</f>
        <v>RCU, RCU cable, RS485 cable, bracket 포함</v>
      </c>
      <c r="P11" s="30"/>
    </row>
    <row r="12" spans="1:19" ht="25.25" customHeight="1" x14ac:dyDescent="0.45">
      <c r="A12" s="26">
        <v>2</v>
      </c>
      <c r="B12" s="27" t="s">
        <v>85</v>
      </c>
      <c r="C12" s="28" t="str">
        <f>IFERROR(VLOOKUP($B12,자재리스트!$B$4:$M$92,2,FALSE),)</f>
        <v>Monitor</v>
      </c>
      <c r="D12" s="27"/>
      <c r="E12" s="27" t="str">
        <f>IFERROR(VLOOKUP($B12,자재리스트!$B$4:$M$92,4,FALSE),)</f>
        <v>32인치 모니터</v>
      </c>
      <c r="F12" s="27" t="str">
        <f>IFERROR(VLOOKUP($B12,자재리스트!$B$4:$M$92,5,FALSE),)</f>
        <v xml:space="preserve"> - </v>
      </c>
      <c r="G12" s="27" t="str">
        <f>IFERROR(VLOOKUP($B12,자재리스트!$B$4:$M$92,6,FALSE),)</f>
        <v>한국</v>
      </c>
      <c r="H12" s="27" t="str">
        <f>IFERROR(VLOOKUP($B12,자재리스트!$B$4:$M$92,7,FALSE),)</f>
        <v>개</v>
      </c>
      <c r="I12" s="29">
        <v>1</v>
      </c>
      <c r="J12" s="29" t="str">
        <f>IFERROR(VLOOKUP($B12,자재리스트!$B$4:$M$92,8,FALSE),)</f>
        <v>KRW</v>
      </c>
      <c r="K12" s="29">
        <f>IFERROR(VLOOKUP($B12,자재리스트!$B$4:$M$92,9,FALSE),)</f>
        <v>4480000</v>
      </c>
      <c r="L12" s="29">
        <f t="shared" ref="L12:L32" si="0">I12*K12</f>
        <v>4480000</v>
      </c>
      <c r="M12" s="27" t="str">
        <f>IFERROR(VLOOKUP($B12,자재리스트!$B$4:$M$92,10,FALSE),)</f>
        <v>MRC/테트라다인</v>
      </c>
      <c r="N12" s="27" t="str">
        <f>IFERROR(VLOOKUP($B12,자재리스트!$B$4:$M$92,11,FALSE),)</f>
        <v>거래명세서</v>
      </c>
      <c r="O12" s="27" t="str">
        <f>IFERROR(VLOOKUP($B12,자재리스트!$B$4:$M$92,12,FALSE),)</f>
        <v>RCU, RCU cable, RS485 cable, bracket 포함</v>
      </c>
      <c r="P12" s="30"/>
    </row>
    <row r="13" spans="1:19" ht="25.25" customHeight="1" x14ac:dyDescent="0.45">
      <c r="A13" s="26">
        <v>3</v>
      </c>
      <c r="B13" s="27" t="s">
        <v>64</v>
      </c>
      <c r="C13" s="28" t="str">
        <f>IFERROR(VLOOKUP($B13,자재리스트!$B$4:$M$92,2,FALSE),)</f>
        <v>Server</v>
      </c>
      <c r="D13" s="27"/>
      <c r="E13" s="27" t="str">
        <f>IFERROR(VLOOKUP($B13,자재리스트!$B$4:$M$92,4,FALSE),)</f>
        <v>메인 서버</v>
      </c>
      <c r="F13" s="27" t="str">
        <f>IFERROR(VLOOKUP($B13,자재리스트!$B$4:$M$92,5,FALSE),)</f>
        <v xml:space="preserve"> - </v>
      </c>
      <c r="G13" s="27" t="str">
        <f>IFERROR(VLOOKUP($B13,자재리스트!$B$4:$M$92,6,FALSE),)</f>
        <v>중국</v>
      </c>
      <c r="H13" s="27" t="str">
        <f>IFERROR(VLOOKUP($B13,자재리스트!$B$4:$M$92,7,FALSE),)</f>
        <v>개</v>
      </c>
      <c r="I13" s="29">
        <v>2</v>
      </c>
      <c r="J13" s="29" t="str">
        <f>IFERROR(VLOOKUP($B13,자재리스트!$B$4:$M$92,8,FALSE),)</f>
        <v>KRW</v>
      </c>
      <c r="K13" s="29">
        <f>IFERROR(VLOOKUP($B13,자재리스트!$B$4:$M$92,9,FALSE),)</f>
        <v>3320000</v>
      </c>
      <c r="L13" s="29">
        <f t="shared" si="0"/>
        <v>6640000</v>
      </c>
      <c r="M13" s="27" t="str">
        <f>IFERROR(VLOOKUP($B13,자재리스트!$B$4:$M$92,10,FALSE),)</f>
        <v>테트라다인</v>
      </c>
      <c r="N13" s="27" t="str">
        <f>IFERROR(VLOOKUP($B13,자재리스트!$B$4:$M$92,11,FALSE),)</f>
        <v>거래명세서</v>
      </c>
      <c r="O13" s="27" t="str">
        <f>IFERROR(VLOOKUP($B13,자재리스트!$B$4:$M$92,12,FALSE),)</f>
        <v xml:space="preserve"> - </v>
      </c>
      <c r="S13" s="16">
        <v>2800000</v>
      </c>
    </row>
    <row r="14" spans="1:19" ht="25.25" customHeight="1" x14ac:dyDescent="0.45">
      <c r="A14" s="26">
        <v>4</v>
      </c>
      <c r="B14" s="27" t="s">
        <v>86</v>
      </c>
      <c r="C14" s="28" t="str">
        <f>IFERROR(VLOOKUP($B14,자재리스트!$B$4:$M$92,2,FALSE),)</f>
        <v>Client</v>
      </c>
      <c r="D14" s="27"/>
      <c r="E14" s="27" t="str">
        <f>IFERROR(VLOOKUP($B14,자재리스트!$B$4:$M$92,4,FALSE),)</f>
        <v>클라이언트 서버</v>
      </c>
      <c r="F14" s="27" t="str">
        <f>IFERROR(VLOOKUP($B14,자재리스트!$B$4:$M$92,5,FALSE),)</f>
        <v xml:space="preserve"> - </v>
      </c>
      <c r="G14" s="27" t="str">
        <f>IFERROR(VLOOKUP($B14,자재리스트!$B$4:$M$92,6,FALSE),)</f>
        <v>중국</v>
      </c>
      <c r="H14" s="27" t="str">
        <f>IFERROR(VLOOKUP($B14,자재리스트!$B$4:$M$92,7,FALSE),)</f>
        <v>개</v>
      </c>
      <c r="I14" s="29">
        <v>2</v>
      </c>
      <c r="J14" s="29" t="str">
        <f>IFERROR(VLOOKUP($B14,자재리스트!$B$4:$M$92,8,FALSE),)</f>
        <v>KRW</v>
      </c>
      <c r="K14" s="29">
        <f>IFERROR(VLOOKUP($B14,자재리스트!$B$4:$M$92,9,FALSE),)</f>
        <v>1820000</v>
      </c>
      <c r="L14" s="29">
        <f t="shared" si="0"/>
        <v>3640000</v>
      </c>
      <c r="M14" s="27" t="str">
        <f>IFERROR(VLOOKUP($B14,자재리스트!$B$4:$M$92,10,FALSE),)</f>
        <v>테트라다인</v>
      </c>
      <c r="N14" s="27" t="str">
        <f>IFERROR(VLOOKUP($B14,자재리스트!$B$4:$M$92,11,FALSE),)</f>
        <v>거래명세서</v>
      </c>
      <c r="O14" s="27" t="str">
        <f>IFERROR(VLOOKUP($B14,자재리스트!$B$4:$M$92,12,FALSE),)</f>
        <v xml:space="preserve"> - </v>
      </c>
      <c r="S14" s="16">
        <v>1695000</v>
      </c>
    </row>
    <row r="15" spans="1:19" ht="25.25" customHeight="1" x14ac:dyDescent="0.45">
      <c r="A15" s="26">
        <v>5</v>
      </c>
      <c r="B15" s="27" t="s">
        <v>87</v>
      </c>
      <c r="C15" s="28" t="str">
        <f>IFERROR(VLOOKUP($B15,자재리스트!$B$4:$M$92,2,FALSE),)</f>
        <v>Keyboard with trackball</v>
      </c>
      <c r="D15" s="27"/>
      <c r="E15" s="27" t="str">
        <f>IFERROR(VLOOKUP($B15,자재리스트!$B$4:$M$92,4,FALSE),)</f>
        <v>선급인증품</v>
      </c>
      <c r="F15" s="27" t="str">
        <f>IFERROR(VLOOKUP($B15,자재리스트!$B$4:$M$92,5,FALSE),)</f>
        <v xml:space="preserve"> - </v>
      </c>
      <c r="G15" s="27" t="str">
        <f>IFERROR(VLOOKUP($B15,자재리스트!$B$4:$M$92,6,FALSE),)</f>
        <v>한국</v>
      </c>
      <c r="H15" s="27" t="str">
        <f>IFERROR(VLOOKUP($B15,자재리스트!$B$4:$M$92,7,FALSE),)</f>
        <v>세트</v>
      </c>
      <c r="I15" s="29">
        <v>2</v>
      </c>
      <c r="J15" s="29" t="str">
        <f>IFERROR(VLOOKUP($B15,자재리스트!$B$4:$M$92,8,FALSE),)</f>
        <v>KRW</v>
      </c>
      <c r="K15" s="29">
        <f>IFERROR(VLOOKUP($B15,자재리스트!$B$4:$M$92,9,FALSE),)</f>
        <v>1200000</v>
      </c>
      <c r="L15" s="29">
        <f>I15*K15</f>
        <v>2400000</v>
      </c>
      <c r="M15" s="27" t="str">
        <f>IFERROR(VLOOKUP($B15,자재리스트!$B$4:$M$92,10,FALSE),)</f>
        <v>피앤피컴포넌츠</v>
      </c>
      <c r="N15" s="27" t="str">
        <f>IFERROR(VLOOKUP($B15,자재리스트!$B$4:$M$92,11,FALSE),)</f>
        <v>거래명세서</v>
      </c>
      <c r="O15" s="27" t="str">
        <f>IFERROR(VLOOKUP($B15,자재리스트!$B$4:$M$92,12,FALSE),)</f>
        <v>panel mount / flush type</v>
      </c>
      <c r="S15" s="16">
        <v>1100000</v>
      </c>
    </row>
    <row r="16" spans="1:19" ht="25.25" customHeight="1" x14ac:dyDescent="0.45">
      <c r="A16" s="26">
        <v>6</v>
      </c>
      <c r="B16" s="27" t="s">
        <v>66</v>
      </c>
      <c r="C16" s="28" t="str">
        <f>IFERROR(VLOOKUP($B16,자재리스트!$B$4:$M$92,2,FALSE),)</f>
        <v>NAS camera housing</v>
      </c>
      <c r="D16" s="27"/>
      <c r="E16" s="27" t="str">
        <f>IFERROR(VLOOKUP($B16,자재리스트!$B$4:$M$92,4,FALSE),)</f>
        <v>하우징</v>
      </c>
      <c r="F16" s="27" t="str">
        <f>IFERROR(VLOOKUP($B16,자재리스트!$B$4:$M$92,5,FALSE),)</f>
        <v xml:space="preserve"> - </v>
      </c>
      <c r="G16" s="27" t="str">
        <f>IFERROR(VLOOKUP($B16,자재리스트!$B$4:$M$92,6,FALSE),)</f>
        <v>한국</v>
      </c>
      <c r="H16" s="27" t="str">
        <f>IFERROR(VLOOKUP($B16,자재리스트!$B$4:$M$92,7,FALSE),)</f>
        <v>개</v>
      </c>
      <c r="I16" s="29">
        <v>1</v>
      </c>
      <c r="J16" s="29" t="str">
        <f>IFERROR(VLOOKUP($B16,자재리스트!$B$4:$M$92,8,FALSE),)</f>
        <v>KRW</v>
      </c>
      <c r="K16" s="29">
        <f>IFERROR(VLOOKUP($B16,자재리스트!$B$4:$M$92,9,FALSE),)</f>
        <v>4300000</v>
      </c>
      <c r="L16" s="29">
        <f>I16*K16</f>
        <v>4300000</v>
      </c>
      <c r="M16" s="27" t="str">
        <f>IFERROR(VLOOKUP($B16,자재리스트!$B$4:$M$92,10,FALSE),)</f>
        <v>MRC</v>
      </c>
      <c r="N16" s="27" t="str">
        <f>IFERROR(VLOOKUP($B16,자재리스트!$B$4:$M$92,11,FALSE),)</f>
        <v>거래명세서</v>
      </c>
      <c r="O16" s="27" t="str">
        <f>IFERROR(VLOOKUP($B16,자재리스트!$B$4:$M$92,12,FALSE),)</f>
        <v xml:space="preserve"> - </v>
      </c>
      <c r="S16" s="16">
        <f>1082333+4000000</f>
        <v>5082333</v>
      </c>
    </row>
    <row r="17" spans="1:19" ht="25.25" customHeight="1" x14ac:dyDescent="0.45">
      <c r="A17" s="26">
        <v>7</v>
      </c>
      <c r="B17" s="27" t="s">
        <v>67</v>
      </c>
      <c r="C17" s="28" t="str">
        <f>IFERROR(VLOOKUP($B17,자재리스트!$B$4:$M$92,2,FALSE),)</f>
        <v>EO Camera</v>
      </c>
      <c r="D17" s="27"/>
      <c r="E17" s="27" t="str">
        <f>IFERROR(VLOOKUP($B17,자재리스트!$B$4:$M$92,4,FALSE),)</f>
        <v>광학 카메라(4K)</v>
      </c>
      <c r="F17" s="27" t="str">
        <f>IFERROR(VLOOKUP($B17,자재리스트!$B$4:$M$92,5,FALSE),)</f>
        <v xml:space="preserve"> - </v>
      </c>
      <c r="G17" s="27" t="str">
        <f>IFERROR(VLOOKUP($B17,자재리스트!$B$4:$M$92,6,FALSE),)</f>
        <v>인도</v>
      </c>
      <c r="H17" s="27" t="str">
        <f>IFERROR(VLOOKUP($B17,자재리스트!$B$4:$M$92,7,FALSE),)</f>
        <v>개</v>
      </c>
      <c r="I17" s="29">
        <v>3</v>
      </c>
      <c r="J17" s="29" t="str">
        <f>IFERROR(VLOOKUP($B17,자재리스트!$B$4:$M$92,8,FALSE),)</f>
        <v>KRW</v>
      </c>
      <c r="K17" s="29">
        <f>IFERROR(VLOOKUP($B17,자재리스트!$B$4:$M$92,9,FALSE),)</f>
        <v>532576</v>
      </c>
      <c r="L17" s="29">
        <f t="shared" si="0"/>
        <v>1597728</v>
      </c>
      <c r="M17" s="27" t="str">
        <f>IFERROR(VLOOKUP($B17,자재리스트!$B$4:$M$92,10,FALSE),)</f>
        <v>사이더스/e-con</v>
      </c>
      <c r="N17" s="27" t="str">
        <f>IFERROR(VLOOKUP($B17,자재리스트!$B$4:$M$92,11,FALSE),)</f>
        <v>거래명세서</v>
      </c>
      <c r="O17" s="27" t="str">
        <f>IFERROR(VLOOKUP($B17,자재리스트!$B$4:$M$92,12,FALSE),)</f>
        <v>w. GMSL cable</v>
      </c>
      <c r="S17" s="16">
        <v>3500000</v>
      </c>
    </row>
    <row r="18" spans="1:19" ht="25.25" customHeight="1" x14ac:dyDescent="0.45">
      <c r="A18" s="26">
        <v>8</v>
      </c>
      <c r="B18" s="27" t="s">
        <v>68</v>
      </c>
      <c r="C18" s="28" t="str">
        <f>IFERROR(VLOOKUP($B18,자재리스트!$B$4:$M$92,2,FALSE),)</f>
        <v>IR camera</v>
      </c>
      <c r="D18" s="27"/>
      <c r="E18" s="27" t="str">
        <f>IFERROR(VLOOKUP($B18,자재리스트!$B$4:$M$92,4,FALSE),)</f>
        <v>열화상 카메라</v>
      </c>
      <c r="F18" s="27" t="str">
        <f>IFERROR(VLOOKUP($B18,자재리스트!$B$4:$M$92,5,FALSE),)</f>
        <v xml:space="preserve"> - </v>
      </c>
      <c r="G18" s="27" t="str">
        <f>IFERROR(VLOOKUP($B18,자재리스트!$B$4:$M$92,6,FALSE),)</f>
        <v>미국</v>
      </c>
      <c r="H18" s="27" t="str">
        <f>IFERROR(VLOOKUP($B18,자재리스트!$B$4:$M$92,7,FALSE),)</f>
        <v>개</v>
      </c>
      <c r="I18" s="29">
        <v>3</v>
      </c>
      <c r="J18" s="29" t="str">
        <f>IFERROR(VLOOKUP($B18,자재리스트!$B$4:$M$92,8,FALSE),)</f>
        <v>KRW</v>
      </c>
      <c r="K18" s="29">
        <f>IFERROR(VLOOKUP($B18,자재리스트!$B$4:$M$92,9,FALSE),)</f>
        <v>2487523</v>
      </c>
      <c r="L18" s="29">
        <f t="shared" si="0"/>
        <v>7462569</v>
      </c>
      <c r="M18" s="27" t="str">
        <f>IFERROR(VLOOKUP($B18,자재리스트!$B$4:$M$92,10,FALSE),)</f>
        <v>IRKEN/FLIR</v>
      </c>
      <c r="N18" s="27" t="str">
        <f>IFERROR(VLOOKUP($B18,자재리스트!$B$4:$M$92,11,FALSE),)</f>
        <v>거래명세서</v>
      </c>
      <c r="O18" s="27" t="str">
        <f>IFERROR(VLOOKUP($B18,자재리스트!$B$4:$M$92,12,FALSE),)</f>
        <v>w. VPC KIT</v>
      </c>
      <c r="S18" s="16">
        <v>6700000</v>
      </c>
    </row>
    <row r="19" spans="1:19" ht="25.25" customHeight="1" x14ac:dyDescent="0.45">
      <c r="A19" s="26">
        <v>9</v>
      </c>
      <c r="B19" s="27" t="s">
        <v>69</v>
      </c>
      <c r="C19" s="28" t="str">
        <f>IFERROR(VLOOKUP($B19,자재리스트!$B$4:$M$92,2,FALSE),)</f>
        <v>IR camera window</v>
      </c>
      <c r="D19" s="27"/>
      <c r="E19" s="27" t="str">
        <f>IFERROR(VLOOKUP($B19,자재리스트!$B$4:$M$92,4,FALSE),)</f>
        <v>열화상 카메라 윈도우</v>
      </c>
      <c r="F19" s="27" t="str">
        <f>IFERROR(VLOOKUP($B19,자재리스트!$B$4:$M$92,5,FALSE),)</f>
        <v xml:space="preserve"> - </v>
      </c>
      <c r="G19" s="27" t="str">
        <f>IFERROR(VLOOKUP($B19,자재리스트!$B$4:$M$92,6,FALSE),)</f>
        <v>중국</v>
      </c>
      <c r="H19" s="27" t="str">
        <f>IFERROR(VLOOKUP($B19,자재리스트!$B$4:$M$92,7,FALSE),)</f>
        <v>개</v>
      </c>
      <c r="I19" s="29">
        <v>3</v>
      </c>
      <c r="J19" s="29" t="str">
        <f>IFERROR(VLOOKUP($B19,자재리스트!$B$4:$M$92,8,FALSE),)</f>
        <v>KRW</v>
      </c>
      <c r="K19" s="29">
        <f>IFERROR(VLOOKUP($B19,자재리스트!$B$4:$M$92,9,FALSE),)</f>
        <v>220965</v>
      </c>
      <c r="L19" s="29">
        <f t="shared" si="0"/>
        <v>662895</v>
      </c>
      <c r="M19" s="27" t="str">
        <f>IFERROR(VLOOKUP($B19,자재리스트!$B$4:$M$92,10,FALSE),)</f>
        <v>센서캠</v>
      </c>
      <c r="N19" s="27" t="str">
        <f>IFERROR(VLOOKUP($B19,자재리스트!$B$4:$M$92,11,FALSE),)</f>
        <v>거래명세서</v>
      </c>
      <c r="O19" s="27" t="str">
        <f>IFERROR(VLOOKUP($B19,자재리스트!$B$4:$M$92,12,FALSE),)</f>
        <v>1세대 용 (직경 42mm)</v>
      </c>
      <c r="S19" s="16">
        <v>2213000</v>
      </c>
    </row>
    <row r="20" spans="1:19" ht="25.25" customHeight="1" x14ac:dyDescent="0.45">
      <c r="A20" s="26">
        <v>10</v>
      </c>
      <c r="B20" s="27" t="s">
        <v>70</v>
      </c>
      <c r="C20" s="28" t="str">
        <f>IFERROR(VLOOKUP($B20,자재리스트!$B$4:$M$92,2,FALSE),)</f>
        <v>NAS junction box</v>
      </c>
      <c r="D20" s="27"/>
      <c r="E20" s="27" t="str">
        <f>IFERROR(VLOOKUP($B20,자재리스트!$B$4:$M$92,4,FALSE),)</f>
        <v>정션박스</v>
      </c>
      <c r="F20" s="27" t="str">
        <f>IFERROR(VLOOKUP($B20,자재리스트!$B$4:$M$92,5,FALSE),)</f>
        <v xml:space="preserve"> - </v>
      </c>
      <c r="G20" s="27" t="str">
        <f>IFERROR(VLOOKUP($B20,자재리스트!$B$4:$M$92,6,FALSE),)</f>
        <v>한국</v>
      </c>
      <c r="H20" s="27" t="str">
        <f>IFERROR(VLOOKUP($B20,자재리스트!$B$4:$M$92,7,FALSE),)</f>
        <v>개</v>
      </c>
      <c r="I20" s="29">
        <v>1</v>
      </c>
      <c r="J20" s="29" t="str">
        <f>IFERROR(VLOOKUP($B20,자재리스트!$B$4:$M$92,8,FALSE),)</f>
        <v>KRW</v>
      </c>
      <c r="K20" s="29">
        <f>IFERROR(VLOOKUP($B20,자재리스트!$B$4:$M$92,9,FALSE),)</f>
        <v>1000000</v>
      </c>
      <c r="L20" s="29">
        <f t="shared" si="0"/>
        <v>1000000</v>
      </c>
      <c r="M20" s="27" t="str">
        <f>IFERROR(VLOOKUP($B20,자재리스트!$B$4:$M$92,10,FALSE),)</f>
        <v>MRC</v>
      </c>
      <c r="N20" s="27" t="str">
        <f>IFERROR(VLOOKUP($B20,자재리스트!$B$4:$M$92,11,FALSE),)</f>
        <v>거래명세서</v>
      </c>
      <c r="O20" s="27" t="str">
        <f>IFERROR(VLOOKUP($B20,자재리스트!$B$4:$M$92,12,FALSE),)</f>
        <v xml:space="preserve"> - </v>
      </c>
      <c r="S20" s="16">
        <f>1520000*2</f>
        <v>3040000</v>
      </c>
    </row>
    <row r="21" spans="1:19" ht="25.25" customHeight="1" x14ac:dyDescent="0.45">
      <c r="A21" s="26">
        <v>11</v>
      </c>
      <c r="B21" s="27" t="s">
        <v>71</v>
      </c>
      <c r="C21" s="28" t="str">
        <f>IFERROR(VLOOKUP($B21,자재리스트!$B$4:$M$92,2,FALSE),)</f>
        <v>Single Board Computer</v>
      </c>
      <c r="D21" s="27"/>
      <c r="E21" s="27" t="str">
        <f>IFERROR(VLOOKUP($B21,자재리스트!$B$4:$M$92,4,FALSE),)</f>
        <v>카메라와 서버 연동</v>
      </c>
      <c r="F21" s="27" t="str">
        <f>IFERROR(VLOOKUP($B21,자재리스트!$B$4:$M$92,5,FALSE),)</f>
        <v xml:space="preserve"> - </v>
      </c>
      <c r="G21" s="27" t="str">
        <f>IFERROR(VLOOKUP($B21,자재리스트!$B$4:$M$92,6,FALSE),)</f>
        <v>인도</v>
      </c>
      <c r="H21" s="27" t="str">
        <f>IFERROR(VLOOKUP($B21,자재리스트!$B$4:$M$92,7,FALSE),)</f>
        <v>개</v>
      </c>
      <c r="I21" s="29">
        <v>1</v>
      </c>
      <c r="J21" s="29" t="str">
        <f>IFERROR(VLOOKUP($B21,자재리스트!$B$4:$M$92,8,FALSE),)</f>
        <v>KRW</v>
      </c>
      <c r="K21" s="29">
        <f>IFERROR(VLOOKUP($B21,자재리스트!$B$4:$M$92,9,FALSE),)</f>
        <v>4508312</v>
      </c>
      <c r="L21" s="29">
        <f>I21*K21</f>
        <v>4508312</v>
      </c>
      <c r="M21" s="27" t="str">
        <f>IFERROR(VLOOKUP($B21,자재리스트!$B$4:$M$92,10,FALSE),)</f>
        <v>사이더스/e-con</v>
      </c>
      <c r="N21" s="27" t="str">
        <f>IFERROR(VLOOKUP($B21,자재리스트!$B$4:$M$92,11,FALSE),)</f>
        <v>거래명세서</v>
      </c>
      <c r="O21" s="27" t="str">
        <f>IFERROR(VLOOKUP($B21,자재리스트!$B$4:$M$92,12,FALSE),)</f>
        <v xml:space="preserve"> - </v>
      </c>
      <c r="S21" s="16">
        <v>1500000</v>
      </c>
    </row>
    <row r="22" spans="1:19" ht="25.25" customHeight="1" x14ac:dyDescent="0.45">
      <c r="A22" s="26">
        <v>12</v>
      </c>
      <c r="B22" s="27" t="s">
        <v>83</v>
      </c>
      <c r="C22" s="28" t="str">
        <f>IFERROR(VLOOKUP($B22,자재리스트!$B$4:$M$92,2,FALSE),)</f>
        <v>SMPS</v>
      </c>
      <c r="D22" s="27"/>
      <c r="E22" s="27" t="str">
        <f>IFERROR(VLOOKUP($B22,자재리스트!$B$4:$M$92,4,FALSE),)</f>
        <v>Single Board Computer  전원 공급</v>
      </c>
      <c r="F22" s="27" t="str">
        <f>IFERROR(VLOOKUP($B22,자재리스트!$B$4:$M$92,5,FALSE),)</f>
        <v xml:space="preserve"> - </v>
      </c>
      <c r="G22" s="27" t="str">
        <f>IFERROR(VLOOKUP($B22,자재리스트!$B$4:$M$92,6,FALSE),)</f>
        <v>한국</v>
      </c>
      <c r="H22" s="27" t="str">
        <f>IFERROR(VLOOKUP($B22,자재리스트!$B$4:$M$92,7,FALSE),)</f>
        <v>개</v>
      </c>
      <c r="I22" s="29">
        <v>1</v>
      </c>
      <c r="J22" s="29" t="str">
        <f>IFERROR(VLOOKUP($B22,자재리스트!$B$4:$M$92,8,FALSE),)</f>
        <v>KRW</v>
      </c>
      <c r="K22" s="29">
        <f>IFERROR(VLOOKUP($B22,자재리스트!$B$4:$M$92,9,FALSE),)</f>
        <v>150000</v>
      </c>
      <c r="L22" s="29">
        <f t="shared" ref="L22:L23" si="1">I22*K22</f>
        <v>150000</v>
      </c>
      <c r="M22" s="27" t="str">
        <f>IFERROR(VLOOKUP($B22,자재리스트!$B$4:$M$92,10,FALSE),)</f>
        <v>파워캅</v>
      </c>
      <c r="N22" s="27" t="str">
        <f>IFERROR(VLOOKUP($B22,자재리스트!$B$4:$M$92,11,FALSE),)</f>
        <v>거래명세서</v>
      </c>
      <c r="O22" s="27" t="str">
        <f>IFERROR(VLOOKUP($B22,자재리스트!$B$4:$M$92,12,FALSE),)</f>
        <v xml:space="preserve"> - </v>
      </c>
      <c r="S22" s="16">
        <v>3800000</v>
      </c>
    </row>
    <row r="23" spans="1:19" ht="25.25" customHeight="1" x14ac:dyDescent="0.45">
      <c r="A23" s="26">
        <v>13</v>
      </c>
      <c r="B23" s="27" t="s">
        <v>84</v>
      </c>
      <c r="C23" s="28" t="str">
        <f>IFERROR(VLOOKUP($B23,자재리스트!$B$4:$M$92,2,FALSE),)</f>
        <v>EMI/EMC filter</v>
      </c>
      <c r="D23" s="27"/>
      <c r="E23" s="27" t="str">
        <f>IFERROR(VLOOKUP($B23,자재리스트!$B$4:$M$92,4,FALSE),)</f>
        <v>정션박스 전자파 차폐용</v>
      </c>
      <c r="F23" s="27" t="str">
        <f>IFERROR(VLOOKUP($B23,자재리스트!$B$4:$M$92,5,FALSE),)</f>
        <v xml:space="preserve"> - </v>
      </c>
      <c r="G23" s="27" t="str">
        <f>IFERROR(VLOOKUP($B23,자재리스트!$B$4:$M$92,6,FALSE),)</f>
        <v>한국</v>
      </c>
      <c r="H23" s="27" t="str">
        <f>IFERROR(VLOOKUP($B23,자재리스트!$B$4:$M$92,7,FALSE),)</f>
        <v>개</v>
      </c>
      <c r="I23" s="29">
        <v>1</v>
      </c>
      <c r="J23" s="29" t="str">
        <f>IFERROR(VLOOKUP($B23,자재리스트!$B$4:$M$92,8,FALSE),)</f>
        <v>KRW</v>
      </c>
      <c r="K23" s="29">
        <f>IFERROR(VLOOKUP($B23,자재리스트!$B$4:$M$92,9,FALSE),)</f>
        <v>77000</v>
      </c>
      <c r="L23" s="29">
        <f t="shared" si="1"/>
        <v>77000</v>
      </c>
      <c r="M23" s="27" t="str">
        <f>IFERROR(VLOOKUP($B23,자재리스트!$B$4:$M$92,10,FALSE),)</f>
        <v>오키</v>
      </c>
      <c r="N23" s="27" t="str">
        <f>IFERROR(VLOOKUP($B23,자재리스트!$B$4:$M$92,11,FALSE),)</f>
        <v>거래명세서</v>
      </c>
      <c r="O23" s="27" t="str">
        <f>IFERROR(VLOOKUP($B23,자재리스트!$B$4:$M$92,12,FALSE),)</f>
        <v xml:space="preserve"> - </v>
      </c>
      <c r="S23" s="16">
        <v>28400000</v>
      </c>
    </row>
    <row r="24" spans="1:19" ht="25.25" customHeight="1" x14ac:dyDescent="0.45">
      <c r="A24" s="26">
        <v>14</v>
      </c>
      <c r="B24" s="27" t="s">
        <v>88</v>
      </c>
      <c r="C24" s="28" t="str">
        <f>IFERROR(VLOOKUP($B24,자재리스트!$B$4:$M$92,2,FALSE),)</f>
        <v>Main rack</v>
      </c>
      <c r="D24" s="27"/>
      <c r="E24" s="27" t="str">
        <f>IFERROR(VLOOKUP($B24,자재리스트!$B$4:$M$92,4,FALSE),)</f>
        <v>서버/HUB 등 설치용 Rack</v>
      </c>
      <c r="F24" s="27" t="str">
        <f>IFERROR(VLOOKUP($B24,자재리스트!$B$4:$M$92,5,FALSE),)</f>
        <v xml:space="preserve"> - </v>
      </c>
      <c r="G24" s="27" t="str">
        <f>IFERROR(VLOOKUP($B24,자재리스트!$B$4:$M$92,6,FALSE),)</f>
        <v>한국</v>
      </c>
      <c r="H24" s="27" t="str">
        <f>IFERROR(VLOOKUP($B24,자재리스트!$B$4:$M$92,7,FALSE),)</f>
        <v>개</v>
      </c>
      <c r="I24" s="29">
        <v>1</v>
      </c>
      <c r="J24" s="29" t="str">
        <f>IFERROR(VLOOKUP($B24,자재리스트!$B$4:$M$92,8,FALSE),)</f>
        <v>KRW</v>
      </c>
      <c r="K24" s="29">
        <f>IFERROR(VLOOKUP($B24,자재리스트!$B$4:$M$92,9,FALSE),)</f>
        <v>3900000</v>
      </c>
      <c r="L24" s="29">
        <f>I24*K24</f>
        <v>3900000</v>
      </c>
      <c r="M24" s="27" t="str">
        <f>IFERROR(VLOOKUP($B24,자재리스트!$B$4:$M$92,10,FALSE),)</f>
        <v>MRC</v>
      </c>
      <c r="N24" s="27" t="str">
        <f>IFERROR(VLOOKUP($B24,자재리스트!$B$4:$M$92,11,FALSE),)</f>
        <v>거래명세서</v>
      </c>
      <c r="O24" s="27" t="str">
        <f>IFERROR(VLOOKUP($B24,자재리스트!$B$4:$M$92,12,FALSE),)</f>
        <v xml:space="preserve"> - </v>
      </c>
    </row>
    <row r="25" spans="1:19" ht="25.25" customHeight="1" x14ac:dyDescent="0.45">
      <c r="A25" s="26">
        <v>15</v>
      </c>
      <c r="B25" s="27" t="s">
        <v>89</v>
      </c>
      <c r="C25" s="28" t="str">
        <f>IFERROR(VLOOKUP($B25,자재리스트!$B$4:$M$92,2,FALSE),)</f>
        <v>Network switch</v>
      </c>
      <c r="D25" s="27"/>
      <c r="E25" s="27" t="str">
        <f>IFERROR(VLOOKUP($B25,자재리스트!$B$4:$M$92,4,FALSE),)</f>
        <v>허브 (선급인증품)</v>
      </c>
      <c r="F25" s="27" t="str">
        <f>IFERROR(VLOOKUP($B25,자재리스트!$B$4:$M$92,5,FALSE),)</f>
        <v xml:space="preserve"> - </v>
      </c>
      <c r="G25" s="27" t="str">
        <f>IFERROR(VLOOKUP($B25,자재리스트!$B$4:$M$92,6,FALSE),)</f>
        <v>한국</v>
      </c>
      <c r="H25" s="27" t="str">
        <f>IFERROR(VLOOKUP($B25,자재리스트!$B$4:$M$92,7,FALSE),)</f>
        <v>개</v>
      </c>
      <c r="I25" s="29">
        <v>2</v>
      </c>
      <c r="J25" s="29" t="str">
        <f>IFERROR(VLOOKUP($B25,자재리스트!$B$4:$M$92,8,FALSE),)</f>
        <v>KRW</v>
      </c>
      <c r="K25" s="29">
        <f>IFERROR(VLOOKUP($B25,자재리스트!$B$4:$M$92,9,FALSE),)</f>
        <v>1596000</v>
      </c>
      <c r="L25" s="29">
        <f t="shared" si="0"/>
        <v>3192000</v>
      </c>
      <c r="M25" s="27" t="str">
        <f>IFERROR(VLOOKUP($B25,자재리스트!$B$4:$M$92,10,FALSE),)</f>
        <v>여의시스템</v>
      </c>
      <c r="N25" s="27" t="str">
        <f>IFERROR(VLOOKUP($B25,자재리스트!$B$4:$M$92,11,FALSE),)</f>
        <v>거래명세서</v>
      </c>
      <c r="O25" s="27" t="str">
        <f>IFERROR(VLOOKUP($B25,자재리스트!$B$4:$M$92,12,FALSE),)</f>
        <v xml:space="preserve"> - </v>
      </c>
    </row>
    <row r="26" spans="1:19" ht="25.25" customHeight="1" x14ac:dyDescent="0.45">
      <c r="A26" s="26">
        <v>16</v>
      </c>
      <c r="B26" s="27" t="s">
        <v>90</v>
      </c>
      <c r="C26" s="28" t="str">
        <f>IFERROR(VLOOKUP($B26,자재리스트!$B$4:$M$92,2,FALSE),)</f>
        <v>Serial to Ethernet</v>
      </c>
      <c r="D26" s="27"/>
      <c r="E26" s="27" t="str">
        <f>IFERROR(VLOOKUP($B26,자재리스트!$B$4:$M$92,4,FALSE),)</f>
        <v>시리얼 통신을 LAN으로 변환</v>
      </c>
      <c r="F26" s="27" t="str">
        <f>IFERROR(VLOOKUP($B26,자재리스트!$B$4:$M$92,5,FALSE),)</f>
        <v xml:space="preserve"> - </v>
      </c>
      <c r="G26" s="27" t="str">
        <f>IFERROR(VLOOKUP($B26,자재리스트!$B$4:$M$92,6,FALSE),)</f>
        <v>한국</v>
      </c>
      <c r="H26" s="27" t="str">
        <f>IFERROR(VLOOKUP($B26,자재리스트!$B$4:$M$92,7,FALSE),)</f>
        <v>개</v>
      </c>
      <c r="I26" s="29">
        <v>2</v>
      </c>
      <c r="J26" s="29" t="str">
        <f>IFERROR(VLOOKUP($B26,자재리스트!$B$4:$M$92,8,FALSE),)</f>
        <v>KRW</v>
      </c>
      <c r="K26" s="29">
        <f>IFERROR(VLOOKUP($B26,자재리스트!$B$4:$M$92,9,FALSE),)</f>
        <v>780000</v>
      </c>
      <c r="L26" s="29">
        <f>I26*K26</f>
        <v>1560000</v>
      </c>
      <c r="M26" s="27" t="str">
        <f>IFERROR(VLOOKUP($B26,자재리스트!$B$4:$M$92,10,FALSE),)</f>
        <v>여의시스템</v>
      </c>
      <c r="N26" s="27" t="str">
        <f>IFERROR(VLOOKUP($B26,자재리스트!$B$4:$M$92,11,FALSE),)</f>
        <v>거래명세서</v>
      </c>
      <c r="O26" s="27" t="str">
        <f>IFERROR(VLOOKUP($B26,자재리스트!$B$4:$M$92,12,FALSE),)</f>
        <v xml:space="preserve"> - </v>
      </c>
    </row>
    <row r="27" spans="1:19" ht="25.25" customHeight="1" x14ac:dyDescent="0.45">
      <c r="A27" s="26">
        <v>17</v>
      </c>
      <c r="B27" s="27" t="s">
        <v>91</v>
      </c>
      <c r="C27" s="28" t="str">
        <f>IFERROR(VLOOKUP($B27,자재리스트!$B$4:$M$92,2,FALSE),)</f>
        <v>Actisense OPTO-4</v>
      </c>
      <c r="D27" s="27"/>
      <c r="E27" s="27" t="str">
        <f>IFERROR(VLOOKUP($B27,자재리스트!$B$4:$M$92,4,FALSE),)</f>
        <v>MOXA NPort5450i 케이블</v>
      </c>
      <c r="F27" s="27" t="str">
        <f>IFERROR(VLOOKUP($B27,자재리스트!$B$4:$M$92,5,FALSE),)</f>
        <v xml:space="preserve"> - </v>
      </c>
      <c r="G27" s="27" t="str">
        <f>IFERROR(VLOOKUP($B27,자재리스트!$B$4:$M$92,6,FALSE),)</f>
        <v>한국</v>
      </c>
      <c r="H27" s="27" t="str">
        <f>IFERROR(VLOOKUP($B27,자재리스트!$B$4:$M$92,7,FALSE),)</f>
        <v>개</v>
      </c>
      <c r="I27" s="29">
        <v>4</v>
      </c>
      <c r="J27" s="29" t="str">
        <f>IFERROR(VLOOKUP($B27,자재리스트!$B$4:$M$92,8,FALSE),)</f>
        <v>KRW</v>
      </c>
      <c r="K27" s="29">
        <f>IFERROR(VLOOKUP($B27,자재리스트!$B$4:$M$92,9,FALSE),)</f>
        <v>120000</v>
      </c>
      <c r="L27" s="29">
        <f>I27*K27</f>
        <v>480000</v>
      </c>
      <c r="M27" s="27" t="str">
        <f>IFERROR(VLOOKUP($B27,자재리스트!$B$4:$M$92,10,FALSE),)</f>
        <v>마린크래프트</v>
      </c>
      <c r="N27" s="27" t="str">
        <f>IFERROR(VLOOKUP($B27,자재리스트!$B$4:$M$92,11,FALSE),)</f>
        <v>거래명세서</v>
      </c>
      <c r="O27" s="27" t="str">
        <f>IFERROR(VLOOKUP($B27,자재리스트!$B$4:$M$92,12,FALSE),)</f>
        <v xml:space="preserve"> - </v>
      </c>
    </row>
    <row r="28" spans="1:19" ht="25.25" customHeight="1" x14ac:dyDescent="0.45">
      <c r="A28" s="26">
        <v>18</v>
      </c>
      <c r="B28" s="27" t="s">
        <v>82</v>
      </c>
      <c r="C28" s="28" t="str">
        <f>IFERROR(VLOOKUP($B28,자재리스트!$B$4:$M$92,2,FALSE),)</f>
        <v>Firewall</v>
      </c>
      <c r="D28" s="27"/>
      <c r="E28" s="27" t="str">
        <f>IFERROR(VLOOKUP($B28,자재리스트!$B$4:$M$92,4,FALSE),)</f>
        <v>방화벽 (선급인증품)</v>
      </c>
      <c r="F28" s="27" t="str">
        <f>IFERROR(VLOOKUP($B28,자재리스트!$B$4:$M$92,5,FALSE),)</f>
        <v xml:space="preserve"> - </v>
      </c>
      <c r="G28" s="27" t="str">
        <f>IFERROR(VLOOKUP($B28,자재리스트!$B$4:$M$92,6,FALSE),)</f>
        <v>한국</v>
      </c>
      <c r="H28" s="27" t="str">
        <f>IFERROR(VLOOKUP($B28,자재리스트!$B$4:$M$92,7,FALSE),)</f>
        <v>개</v>
      </c>
      <c r="I28" s="29">
        <v>1</v>
      </c>
      <c r="J28" s="29" t="str">
        <f>IFERROR(VLOOKUP($B28,자재리스트!$B$4:$M$92,8,FALSE),)</f>
        <v>KRW</v>
      </c>
      <c r="K28" s="29">
        <f>IFERROR(VLOOKUP($B28,자재리스트!$B$4:$M$92,9,FALSE),)</f>
        <v>3800000</v>
      </c>
      <c r="L28" s="29">
        <f t="shared" si="0"/>
        <v>3800000</v>
      </c>
      <c r="M28" s="27" t="str">
        <f>IFERROR(VLOOKUP($B28,자재리스트!$B$4:$M$92,10,FALSE),)</f>
        <v>MRC</v>
      </c>
      <c r="N28" s="27" t="str">
        <f>IFERROR(VLOOKUP($B28,자재리스트!$B$4:$M$92,11,FALSE),)</f>
        <v>거래명세서</v>
      </c>
      <c r="O28" s="27" t="str">
        <f>IFERROR(VLOOKUP($B28,자재리스트!$B$4:$M$92,12,FALSE),)</f>
        <v xml:space="preserve"> - </v>
      </c>
    </row>
    <row r="29" spans="1:19" ht="25.25" customHeight="1" x14ac:dyDescent="0.45">
      <c r="A29" s="26">
        <v>19</v>
      </c>
      <c r="B29" s="27" t="s">
        <v>92</v>
      </c>
      <c r="C29" s="28" t="str">
        <f>IFERROR(VLOOKUP($B29,자재리스트!$B$4:$M$92,2,FALSE),)</f>
        <v>Selector Switch</v>
      </c>
      <c r="D29" s="27"/>
      <c r="E29" s="27" t="str">
        <f>IFERROR(VLOOKUP($B29,자재리스트!$B$4:$M$92,4,FALSE),)</f>
        <v>HiNAS control 선택 스위치</v>
      </c>
      <c r="F29" s="27" t="str">
        <f>IFERROR(VLOOKUP($B29,자재리스트!$B$4:$M$92,5,FALSE),)</f>
        <v xml:space="preserve"> - </v>
      </c>
      <c r="G29" s="27" t="str">
        <f>IFERROR(VLOOKUP($B29,자재리스트!$B$4:$M$92,6,FALSE),)</f>
        <v>한국</v>
      </c>
      <c r="H29" s="27" t="str">
        <f>IFERROR(VLOOKUP($B29,자재리스트!$B$4:$M$92,7,FALSE),)</f>
        <v>개</v>
      </c>
      <c r="I29" s="29">
        <v>1</v>
      </c>
      <c r="J29" s="29" t="str">
        <f>IFERROR(VLOOKUP($B29,자재리스트!$B$4:$M$92,8,FALSE),)</f>
        <v>USD</v>
      </c>
      <c r="K29" s="29">
        <f>IFERROR(VLOOKUP($B29,자재리스트!$B$4:$M$92,9,FALSE),)</f>
        <v>1330</v>
      </c>
      <c r="L29" s="29">
        <f t="shared" si="0"/>
        <v>1330</v>
      </c>
      <c r="M29" s="27" t="str">
        <f>IFERROR(VLOOKUP($B29,자재리스트!$B$4:$M$92,10,FALSE),)</f>
        <v>MRC/YDK</v>
      </c>
      <c r="N29" s="27" t="str">
        <f>IFERROR(VLOOKUP($B29,자재리스트!$B$4:$M$92,11,FALSE),)</f>
        <v>거래명세서</v>
      </c>
      <c r="O29" s="27" t="str">
        <f>IFERROR(VLOOKUP($B29,자재리스트!$B$4:$M$92,12,FALSE),)</f>
        <v>YOKOGAWA (w. DIMMER BOX)</v>
      </c>
    </row>
    <row r="30" spans="1:19" ht="25.25" customHeight="1" x14ac:dyDescent="0.45">
      <c r="A30" s="26">
        <v>20</v>
      </c>
      <c r="B30" s="27" t="s">
        <v>93</v>
      </c>
      <c r="C30" s="28" t="str">
        <f>IFERROR(VLOOKUP($B30,자재리스트!$B$4:$M$92,2,FALSE),)</f>
        <v>UPS</v>
      </c>
      <c r="D30" s="27"/>
      <c r="E30" s="27" t="str">
        <f>IFERROR(VLOOKUP($B30,자재리스트!$B$4:$M$92,4,FALSE),)</f>
        <v>3kVA, 무정전 전원 공급, Rack type</v>
      </c>
      <c r="F30" s="27" t="str">
        <f>IFERROR(VLOOKUP($B30,자재리스트!$B$4:$M$92,5,FALSE),)</f>
        <v xml:space="preserve"> - </v>
      </c>
      <c r="G30" s="27" t="str">
        <f>IFERROR(VLOOKUP($B30,자재리스트!$B$4:$M$92,6,FALSE),)</f>
        <v>한국</v>
      </c>
      <c r="H30" s="27" t="str">
        <f>IFERROR(VLOOKUP($B30,자재리스트!$B$4:$M$92,7,FALSE),)</f>
        <v>개</v>
      </c>
      <c r="I30" s="29">
        <v>1</v>
      </c>
      <c r="J30" s="29" t="str">
        <f>IFERROR(VLOOKUP($B30,자재리스트!$B$4:$M$92,8,FALSE),)</f>
        <v>KRW</v>
      </c>
      <c r="K30" s="29">
        <f>IFERROR(VLOOKUP($B30,자재리스트!$B$4:$M$92,9,FALSE),)</f>
        <v>2840000</v>
      </c>
      <c r="L30" s="29">
        <f t="shared" si="0"/>
        <v>2840000</v>
      </c>
      <c r="M30" s="27" t="str">
        <f>IFERROR(VLOOKUP($B30,자재리스트!$B$4:$M$92,10,FALSE),)</f>
        <v>기호티이에스</v>
      </c>
      <c r="N30" s="27" t="str">
        <f>IFERROR(VLOOKUP($B30,자재리스트!$B$4:$M$92,11,FALSE),)</f>
        <v>거래명세서</v>
      </c>
      <c r="O30" s="27" t="str">
        <f>IFERROR(VLOOKUP($B30,자재리스트!$B$4:$M$92,12,FALSE),)</f>
        <v>마린필터, network card, 케이블 포함</v>
      </c>
    </row>
    <row r="31" spans="1:19" ht="25.25" customHeight="1" x14ac:dyDescent="0.45">
      <c r="A31" s="26">
        <v>21</v>
      </c>
      <c r="B31" s="27" t="s">
        <v>76</v>
      </c>
      <c r="C31" s="28" t="str">
        <f>IFERROR(VLOOKUP($B31,자재리스트!$B$4:$M$92,2,FALSE),)</f>
        <v>멀티탭</v>
      </c>
      <c r="D31" s="27"/>
      <c r="E31" s="27" t="str">
        <f>IFERROR(VLOOKUP($B31,자재리스트!$B$4:$M$92,4,FALSE),)</f>
        <v>UPS용</v>
      </c>
      <c r="F31" s="27" t="str">
        <f>IFERROR(VLOOKUP($B31,자재리스트!$B$4:$M$92,5,FALSE),)</f>
        <v xml:space="preserve"> - </v>
      </c>
      <c r="G31" s="27" t="str">
        <f>IFERROR(VLOOKUP($B31,자재리스트!$B$4:$M$92,6,FALSE),)</f>
        <v>한국</v>
      </c>
      <c r="H31" s="27" t="str">
        <f>IFERROR(VLOOKUP($B31,자재리스트!$B$4:$M$92,7,FALSE),)</f>
        <v>개</v>
      </c>
      <c r="I31" s="29">
        <v>2</v>
      </c>
      <c r="J31" s="29" t="str">
        <f>IFERROR(VLOOKUP($B31,자재리스트!$B$4:$M$92,8,FALSE),)</f>
        <v>KRW</v>
      </c>
      <c r="K31" s="29">
        <f>IFERROR(VLOOKUP($B31,자재리스트!$B$4:$M$92,9,FALSE),)</f>
        <v>10800</v>
      </c>
      <c r="L31" s="29">
        <f t="shared" si="0"/>
        <v>21600</v>
      </c>
      <c r="M31" s="27" t="str">
        <f>IFERROR(VLOOKUP($B31,자재리스트!$B$4:$M$92,10,FALSE),)</f>
        <v>쿠팡</v>
      </c>
      <c r="N31" s="27" t="str">
        <f>IFERROR(VLOOKUP($B31,자재리스트!$B$4:$M$92,11,FALSE),)</f>
        <v>거래명세서</v>
      </c>
      <c r="O31" s="27" t="str">
        <f>IFERROR(VLOOKUP($B31,자재리스트!$B$4:$M$92,12,FALSE),)</f>
        <v xml:space="preserve"> - </v>
      </c>
    </row>
    <row r="32" spans="1:19" ht="25.25" customHeight="1" x14ac:dyDescent="0.45">
      <c r="A32" s="26">
        <v>22</v>
      </c>
      <c r="B32" s="27" t="s">
        <v>77</v>
      </c>
      <c r="C32" s="28" t="str">
        <f>IFERROR(VLOOKUP($B32,자재리스트!$B$4:$M$92,2,FALSE),)</f>
        <v>C13-C14(MALE)</v>
      </c>
      <c r="D32" s="27"/>
      <c r="E32" s="27" t="str">
        <f>IFERROR(VLOOKUP($B32,자재리스트!$B$4:$M$92,4,FALSE),)</f>
        <v>UPS용</v>
      </c>
      <c r="F32" s="27" t="str">
        <f>IFERROR(VLOOKUP($B32,자재리스트!$B$4:$M$92,5,FALSE),)</f>
        <v xml:space="preserve"> - </v>
      </c>
      <c r="G32" s="27" t="str">
        <f>IFERROR(VLOOKUP($B32,자재리스트!$B$4:$M$92,6,FALSE),)</f>
        <v>한국</v>
      </c>
      <c r="H32" s="27" t="str">
        <f>IFERROR(VLOOKUP($B32,자재리스트!$B$4:$M$92,7,FALSE),)</f>
        <v>개</v>
      </c>
      <c r="I32" s="29">
        <v>3</v>
      </c>
      <c r="J32" s="29" t="str">
        <f>IFERROR(VLOOKUP($B32,자재리스트!$B$4:$M$92,8,FALSE),)</f>
        <v>KRW</v>
      </c>
      <c r="K32" s="29">
        <f>IFERROR(VLOOKUP($B32,자재리스트!$B$4:$M$92,9,FALSE),)</f>
        <v>9900</v>
      </c>
      <c r="L32" s="29">
        <f t="shared" si="0"/>
        <v>29700</v>
      </c>
      <c r="M32" s="27" t="str">
        <f>IFERROR(VLOOKUP($B32,자재리스트!$B$4:$M$92,10,FALSE),)</f>
        <v>한주전자</v>
      </c>
      <c r="N32" s="27" t="str">
        <f>IFERROR(VLOOKUP($B32,자재리스트!$B$4:$M$92,11,FALSE),)</f>
        <v>거래명세서</v>
      </c>
      <c r="O32" s="27" t="str">
        <f>IFERROR(VLOOKUP($B32,자재리스트!$B$4:$M$92,12,FALSE),)</f>
        <v xml:space="preserve"> - </v>
      </c>
    </row>
    <row r="33" spans="1:15" ht="24.75" customHeight="1" x14ac:dyDescent="0.45">
      <c r="A33" s="17"/>
      <c r="B33" s="31"/>
      <c r="C33" s="32"/>
      <c r="D33" s="31"/>
      <c r="E33" s="31"/>
      <c r="F33" s="31"/>
      <c r="G33" s="31"/>
      <c r="H33" s="31"/>
      <c r="I33" s="33"/>
      <c r="J33" s="33"/>
      <c r="K33" s="33"/>
      <c r="L33" s="33"/>
      <c r="M33" s="31"/>
      <c r="N33" s="31"/>
      <c r="O33" s="31"/>
    </row>
    <row r="34" spans="1:15" ht="17.5" x14ac:dyDescent="0.45">
      <c r="C34" s="120" t="s">
        <v>78</v>
      </c>
      <c r="D34" s="120"/>
      <c r="E34" s="120"/>
      <c r="F34" s="120"/>
      <c r="G34" s="120"/>
      <c r="H34" s="120"/>
      <c r="I34" s="120"/>
      <c r="J34" s="120"/>
      <c r="K34" s="120"/>
      <c r="L34" s="120"/>
      <c r="M34" s="120"/>
      <c r="N34" s="120"/>
      <c r="O34" s="120"/>
    </row>
    <row r="35" spans="1:15" ht="17.5" x14ac:dyDescent="0.45">
      <c r="C35" s="120" t="s">
        <v>79</v>
      </c>
      <c r="D35" s="120"/>
      <c r="E35" s="120"/>
      <c r="F35" s="120"/>
      <c r="G35" s="120"/>
      <c r="H35" s="120"/>
      <c r="I35" s="120"/>
      <c r="J35" s="120"/>
      <c r="K35" s="120"/>
      <c r="L35" s="120"/>
      <c r="M35" s="120"/>
      <c r="N35" s="120"/>
      <c r="O35" s="120"/>
    </row>
  </sheetData>
  <mergeCells count="4">
    <mergeCell ref="A2:O2"/>
    <mergeCell ref="C10:D10"/>
    <mergeCell ref="C34:O34"/>
    <mergeCell ref="C35:O35"/>
  </mergeCells>
  <phoneticPr fontId="3" type="noConversion"/>
  <printOptions horizontalCentered="1"/>
  <pageMargins left="0.70866141732283472" right="0.70866141732283472" top="0.74803149606299213" bottom="0.74803149606299213" header="0.31496062992125984" footer="0.31496062992125984"/>
  <pageSetup paperSize="9" scale="64" fitToWidth="0" orientation="landscape" r:id="rId1"/>
  <headerFooter>
    <oddFooter>&amp;L_x000D_&amp;1#&amp;"Calibri"&amp;9&amp;K000000 Confidential | AVIKUS – Unauthorized distribution is strictly prohibited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0874-3C7A-4F56-BA38-4BFE35DB332E}">
  <sheetPr>
    <tabColor rgb="FFFF0000"/>
    <pageSetUpPr fitToPage="1"/>
  </sheetPr>
  <dimension ref="A2:P33"/>
  <sheetViews>
    <sheetView showGridLines="0" view="pageBreakPreview" topLeftCell="A8" zoomScaleNormal="100" zoomScaleSheetLayoutView="100" workbookViewId="0">
      <selection activeCell="J20" sqref="J20"/>
    </sheetView>
  </sheetViews>
  <sheetFormatPr defaultColWidth="10" defaultRowHeight="17" x14ac:dyDescent="0.45"/>
  <cols>
    <col min="1" max="1" width="6.4140625" style="16" customWidth="1"/>
    <col min="2" max="2" width="13.5" style="16" customWidth="1"/>
    <col min="3" max="3" width="2.08203125" style="16" customWidth="1"/>
    <col min="4" max="5" width="20" style="16" customWidth="1"/>
    <col min="6" max="9" width="10" style="16"/>
    <col min="10" max="10" width="7" style="16" bestFit="1" customWidth="1"/>
    <col min="11" max="12" width="10" style="16"/>
    <col min="13" max="13" width="16.1640625" style="16" customWidth="1"/>
    <col min="14" max="14" width="14.5" style="16" customWidth="1"/>
    <col min="15" max="15" width="13" style="16" customWidth="1"/>
    <col min="16" max="16384" width="10" style="16"/>
  </cols>
  <sheetData>
    <row r="2" spans="1:16" ht="30" x14ac:dyDescent="0.45">
      <c r="A2" s="117" t="s">
        <v>38</v>
      </c>
      <c r="B2" s="117"/>
      <c r="C2" s="117"/>
      <c r="D2" s="117"/>
      <c r="E2" s="117"/>
      <c r="F2" s="117"/>
      <c r="G2" s="117"/>
      <c r="H2" s="117"/>
      <c r="I2" s="117"/>
      <c r="J2" s="117"/>
      <c r="K2" s="117"/>
      <c r="L2" s="117"/>
      <c r="M2" s="117"/>
      <c r="N2" s="117"/>
      <c r="O2" s="117"/>
    </row>
    <row r="3" spans="1:16" x14ac:dyDescent="0.45">
      <c r="C3" s="16" t="s">
        <v>39</v>
      </c>
    </row>
    <row r="4" spans="1:16" ht="21" customHeight="1" x14ac:dyDescent="0.45">
      <c r="A4" s="18" t="s">
        <v>40</v>
      </c>
      <c r="B4" s="19"/>
      <c r="C4" s="19" t="s">
        <v>41</v>
      </c>
      <c r="D4" s="20" t="s">
        <v>35</v>
      </c>
      <c r="E4" s="21"/>
      <c r="F4" s="21"/>
      <c r="G4" s="21"/>
      <c r="H4" s="21"/>
      <c r="I4" s="21"/>
      <c r="J4" s="21"/>
      <c r="K4" s="21"/>
      <c r="L4" s="21"/>
      <c r="M4" s="21"/>
      <c r="N4" s="21"/>
      <c r="O4" s="21"/>
    </row>
    <row r="5" spans="1:16" ht="21" customHeight="1" x14ac:dyDescent="0.45">
      <c r="A5" s="21" t="s">
        <v>43</v>
      </c>
      <c r="C5" s="16" t="s">
        <v>41</v>
      </c>
      <c r="E5" s="21"/>
      <c r="F5" s="21"/>
      <c r="G5" s="21"/>
      <c r="H5" s="21"/>
      <c r="I5" s="21"/>
      <c r="J5" s="21"/>
      <c r="K5" s="21"/>
      <c r="L5" s="21"/>
      <c r="M5" s="21"/>
      <c r="N5" s="21"/>
      <c r="O5" s="21"/>
    </row>
    <row r="6" spans="1:16" ht="21" customHeight="1" x14ac:dyDescent="0.45">
      <c r="A6" s="21" t="s">
        <v>44</v>
      </c>
      <c r="C6" s="16" t="s">
        <v>41</v>
      </c>
      <c r="E6" s="21"/>
      <c r="F6" s="21"/>
      <c r="G6" s="21"/>
      <c r="H6" s="21"/>
      <c r="I6" s="21"/>
      <c r="J6" s="21"/>
      <c r="K6" s="21"/>
      <c r="L6" s="21"/>
      <c r="M6" s="21"/>
      <c r="N6" s="21"/>
      <c r="O6" s="21"/>
    </row>
    <row r="7" spans="1:16" ht="21" customHeight="1" x14ac:dyDescent="0.45">
      <c r="A7" s="21" t="s">
        <v>45</v>
      </c>
      <c r="C7" s="16" t="s">
        <v>41</v>
      </c>
      <c r="E7" s="21"/>
      <c r="F7" s="21" t="s">
        <v>39</v>
      </c>
      <c r="G7" s="21"/>
      <c r="H7" s="21"/>
      <c r="I7" s="21"/>
      <c r="J7" s="21"/>
      <c r="K7" s="21"/>
      <c r="L7" s="21"/>
      <c r="M7" s="21"/>
      <c r="N7" s="21"/>
      <c r="O7" s="21"/>
    </row>
    <row r="8" spans="1:16" ht="21" customHeight="1" x14ac:dyDescent="0.45">
      <c r="A8" s="21" t="s">
        <v>46</v>
      </c>
      <c r="E8" s="21"/>
      <c r="F8" s="21"/>
      <c r="G8" s="21"/>
      <c r="H8" s="21"/>
      <c r="I8" s="21"/>
      <c r="J8" s="21"/>
      <c r="K8" s="21"/>
      <c r="L8" s="21"/>
      <c r="M8" s="21"/>
      <c r="N8" s="21"/>
      <c r="O8" s="21"/>
    </row>
    <row r="9" spans="1:16" ht="6" customHeight="1" x14ac:dyDescent="0.45"/>
    <row r="10" spans="1:16" ht="34" x14ac:dyDescent="0.45">
      <c r="A10" s="23" t="s">
        <v>47</v>
      </c>
      <c r="B10" s="24" t="s">
        <v>48</v>
      </c>
      <c r="C10" s="118" t="s">
        <v>49</v>
      </c>
      <c r="D10" s="119"/>
      <c r="E10" s="24" t="s">
        <v>50</v>
      </c>
      <c r="F10" s="25" t="s">
        <v>51</v>
      </c>
      <c r="G10" s="24" t="s">
        <v>52</v>
      </c>
      <c r="H10" s="24" t="s">
        <v>53</v>
      </c>
      <c r="I10" s="24" t="s">
        <v>54</v>
      </c>
      <c r="J10" s="24" t="s">
        <v>55</v>
      </c>
      <c r="K10" s="24" t="s">
        <v>57</v>
      </c>
      <c r="L10" s="24" t="s">
        <v>58</v>
      </c>
      <c r="M10" s="24" t="s">
        <v>60</v>
      </c>
      <c r="N10" s="24" t="s">
        <v>61</v>
      </c>
      <c r="O10" s="24" t="s">
        <v>62</v>
      </c>
    </row>
    <row r="11" spans="1:16" ht="25.25" customHeight="1" x14ac:dyDescent="0.45">
      <c r="A11" s="26">
        <v>1</v>
      </c>
      <c r="B11" s="27" t="s">
        <v>81</v>
      </c>
      <c r="C11" s="28" t="str">
        <f>IFERROR(VLOOKUP($B11,자재리스트!$B$4:$M$92,2,FALSE),)</f>
        <v>Monitor</v>
      </c>
      <c r="D11" s="27"/>
      <c r="E11" s="27" t="str">
        <f>IFERROR(VLOOKUP($B11,자재리스트!$B$4:$M$92,4,FALSE),)</f>
        <v>DOM 58.4인치 모니터</v>
      </c>
      <c r="F11" s="27" t="str">
        <f>IFERROR(VLOOKUP($B11,자재리스트!$B$4:$M$92,5,FALSE),)</f>
        <v xml:space="preserve"> - </v>
      </c>
      <c r="G11" s="27" t="str">
        <f>IFERROR(VLOOKUP($B11,자재리스트!$B$4:$M$92,6,FALSE),)</f>
        <v>한국</v>
      </c>
      <c r="H11" s="27" t="str">
        <f>IFERROR(VLOOKUP($B11,자재리스트!$B$4:$M$92,7,FALSE),)</f>
        <v>개</v>
      </c>
      <c r="I11" s="29">
        <v>1</v>
      </c>
      <c r="J11" s="29" t="str">
        <f>IFERROR(VLOOKUP($B11,자재리스트!$B$4:$M$92,8,FALSE),)</f>
        <v>KRW</v>
      </c>
      <c r="K11" s="29">
        <f>IFERROR(VLOOKUP($B11,자재리스트!$B$4:$M$92,9,FALSE),)</f>
        <v>6540000</v>
      </c>
      <c r="L11" s="29">
        <f>I11*K11</f>
        <v>6540000</v>
      </c>
      <c r="M11" s="27" t="str">
        <f>IFERROR(VLOOKUP($B11,자재리스트!$B$4:$M$92,10,FALSE),)</f>
        <v>MRC/테트라다인</v>
      </c>
      <c r="N11" s="27" t="str">
        <f>IFERROR(VLOOKUP($B11,자재리스트!$B$4:$M$92,11,FALSE),)</f>
        <v>거래명세서</v>
      </c>
      <c r="O11" s="27" t="str">
        <f>IFERROR(VLOOKUP($B11,자재리스트!$B$4:$M$92,12,FALSE),)</f>
        <v>RCU, RCU cable, RS485 cable, bracket 포함</v>
      </c>
      <c r="P11" s="30"/>
    </row>
    <row r="12" spans="1:16" ht="25.25" customHeight="1" x14ac:dyDescent="0.45">
      <c r="A12" s="26">
        <v>2</v>
      </c>
      <c r="B12" s="27" t="s">
        <v>85</v>
      </c>
      <c r="C12" s="28" t="str">
        <f>IFERROR(VLOOKUP($B12,자재리스트!$B$4:$M$92,2,FALSE),)</f>
        <v>Monitor</v>
      </c>
      <c r="D12" s="27"/>
      <c r="E12" s="27" t="str">
        <f>IFERROR(VLOOKUP($B12,자재리스트!$B$4:$M$92,4,FALSE),)</f>
        <v>32인치 모니터</v>
      </c>
      <c r="F12" s="27" t="str">
        <f>IFERROR(VLOOKUP($B12,자재리스트!$B$4:$M$92,5,FALSE),)</f>
        <v xml:space="preserve"> - </v>
      </c>
      <c r="G12" s="27" t="str">
        <f>IFERROR(VLOOKUP($B12,자재리스트!$B$4:$M$92,6,FALSE),)</f>
        <v>한국</v>
      </c>
      <c r="H12" s="27" t="str">
        <f>IFERROR(VLOOKUP($B12,자재리스트!$B$4:$M$92,7,FALSE),)</f>
        <v>개</v>
      </c>
      <c r="I12" s="29">
        <v>1</v>
      </c>
      <c r="J12" s="29" t="str">
        <f>IFERROR(VLOOKUP($B12,자재리스트!$B$4:$M$92,8,FALSE),)</f>
        <v>KRW</v>
      </c>
      <c r="K12" s="29">
        <f>IFERROR(VLOOKUP($B12,자재리스트!$B$4:$M$92,9,FALSE),)</f>
        <v>4480000</v>
      </c>
      <c r="L12" s="29">
        <f t="shared" ref="L12:L31" si="0">I12*K12</f>
        <v>4480000</v>
      </c>
      <c r="M12" s="27" t="str">
        <f>IFERROR(VLOOKUP($B12,자재리스트!$B$4:$M$92,10,FALSE),)</f>
        <v>MRC/테트라다인</v>
      </c>
      <c r="N12" s="27" t="str">
        <f>IFERROR(VLOOKUP($B12,자재리스트!$B$4:$M$92,11,FALSE),)</f>
        <v>거래명세서</v>
      </c>
      <c r="O12" s="27" t="str">
        <f>IFERROR(VLOOKUP($B12,자재리스트!$B$4:$M$92,12,FALSE),)</f>
        <v>RCU, RCU cable, RS485 cable, bracket 포함</v>
      </c>
      <c r="P12" s="30"/>
    </row>
    <row r="13" spans="1:16" ht="25.25" customHeight="1" x14ac:dyDescent="0.45">
      <c r="A13" s="26">
        <v>3</v>
      </c>
      <c r="B13" s="27" t="s">
        <v>64</v>
      </c>
      <c r="C13" s="28" t="str">
        <f>IFERROR(VLOOKUP($B13,자재리스트!$B$4:$M$92,2,FALSE),)</f>
        <v>Server</v>
      </c>
      <c r="D13" s="27"/>
      <c r="E13" s="27" t="str">
        <f>IFERROR(VLOOKUP($B13,자재리스트!$B$4:$M$92,4,FALSE),)</f>
        <v>메인 서버</v>
      </c>
      <c r="F13" s="27" t="str">
        <f>IFERROR(VLOOKUP($B13,자재리스트!$B$4:$M$92,5,FALSE),)</f>
        <v xml:space="preserve"> - </v>
      </c>
      <c r="G13" s="27" t="str">
        <f>IFERROR(VLOOKUP($B13,자재리스트!$B$4:$M$92,6,FALSE),)</f>
        <v>중국</v>
      </c>
      <c r="H13" s="27" t="str">
        <f>IFERROR(VLOOKUP($B13,자재리스트!$B$4:$M$92,7,FALSE),)</f>
        <v>개</v>
      </c>
      <c r="I13" s="29">
        <v>2</v>
      </c>
      <c r="J13" s="29" t="str">
        <f>IFERROR(VLOOKUP($B13,자재리스트!$B$4:$M$92,8,FALSE),)</f>
        <v>KRW</v>
      </c>
      <c r="K13" s="29">
        <f>IFERROR(VLOOKUP($B13,자재리스트!$B$4:$M$92,9,FALSE),)</f>
        <v>3320000</v>
      </c>
      <c r="L13" s="29">
        <f t="shared" si="0"/>
        <v>6640000</v>
      </c>
      <c r="M13" s="27" t="str">
        <f>IFERROR(VLOOKUP($B13,자재리스트!$B$4:$M$92,10,FALSE),)</f>
        <v>테트라다인</v>
      </c>
      <c r="N13" s="27" t="str">
        <f>IFERROR(VLOOKUP($B13,자재리스트!$B$4:$M$92,11,FALSE),)</f>
        <v>거래명세서</v>
      </c>
      <c r="O13" s="27" t="str">
        <f>IFERROR(VLOOKUP($B13,자재리스트!$B$4:$M$92,12,FALSE),)</f>
        <v xml:space="preserve"> - </v>
      </c>
    </row>
    <row r="14" spans="1:16" ht="25.25" customHeight="1" x14ac:dyDescent="0.45">
      <c r="A14" s="26">
        <v>4</v>
      </c>
      <c r="B14" s="27" t="s">
        <v>86</v>
      </c>
      <c r="C14" s="28" t="str">
        <f>IFERROR(VLOOKUP($B14,자재리스트!$B$4:$M$92,2,FALSE),)</f>
        <v>Client</v>
      </c>
      <c r="D14" s="27"/>
      <c r="E14" s="27" t="str">
        <f>IFERROR(VLOOKUP($B14,자재리스트!$B$4:$M$92,4,FALSE),)</f>
        <v>클라이언트 서버</v>
      </c>
      <c r="F14" s="27" t="str">
        <f>IFERROR(VLOOKUP($B14,자재리스트!$B$4:$M$92,5,FALSE),)</f>
        <v xml:space="preserve"> - </v>
      </c>
      <c r="G14" s="27" t="str">
        <f>IFERROR(VLOOKUP($B14,자재리스트!$B$4:$M$92,6,FALSE),)</f>
        <v>중국</v>
      </c>
      <c r="H14" s="27" t="str">
        <f>IFERROR(VLOOKUP($B14,자재리스트!$B$4:$M$92,7,FALSE),)</f>
        <v>개</v>
      </c>
      <c r="I14" s="29">
        <v>2</v>
      </c>
      <c r="J14" s="29" t="str">
        <f>IFERROR(VLOOKUP($B14,자재리스트!$B$4:$M$92,8,FALSE),)</f>
        <v>KRW</v>
      </c>
      <c r="K14" s="29">
        <f>IFERROR(VLOOKUP($B14,자재리스트!$B$4:$M$92,9,FALSE),)</f>
        <v>1820000</v>
      </c>
      <c r="L14" s="29">
        <f t="shared" si="0"/>
        <v>3640000</v>
      </c>
      <c r="M14" s="27" t="str">
        <f>IFERROR(VLOOKUP($B14,자재리스트!$B$4:$M$92,10,FALSE),)</f>
        <v>테트라다인</v>
      </c>
      <c r="N14" s="27" t="str">
        <f>IFERROR(VLOOKUP($B14,자재리스트!$B$4:$M$92,11,FALSE),)</f>
        <v>거래명세서</v>
      </c>
      <c r="O14" s="27" t="str">
        <f>IFERROR(VLOOKUP($B14,자재리스트!$B$4:$M$92,12,FALSE),)</f>
        <v xml:space="preserve"> - </v>
      </c>
    </row>
    <row r="15" spans="1:16" ht="25.25" customHeight="1" x14ac:dyDescent="0.45">
      <c r="A15" s="26">
        <v>5</v>
      </c>
      <c r="B15" s="27" t="s">
        <v>87</v>
      </c>
      <c r="C15" s="28" t="str">
        <f>IFERROR(VLOOKUP($B15,자재리스트!$B$4:$M$92,2,FALSE),)</f>
        <v>Keyboard with trackball</v>
      </c>
      <c r="D15" s="27"/>
      <c r="E15" s="27" t="str">
        <f>IFERROR(VLOOKUP($B15,자재리스트!$B$4:$M$92,4,FALSE),)</f>
        <v>선급인증품</v>
      </c>
      <c r="F15" s="27" t="str">
        <f>IFERROR(VLOOKUP($B15,자재리스트!$B$4:$M$92,5,FALSE),)</f>
        <v xml:space="preserve"> - </v>
      </c>
      <c r="G15" s="27" t="str">
        <f>IFERROR(VLOOKUP($B15,자재리스트!$B$4:$M$92,6,FALSE),)</f>
        <v>한국</v>
      </c>
      <c r="H15" s="27" t="str">
        <f>IFERROR(VLOOKUP($B15,자재리스트!$B$4:$M$92,7,FALSE),)</f>
        <v>세트</v>
      </c>
      <c r="I15" s="29">
        <v>2</v>
      </c>
      <c r="J15" s="29" t="str">
        <f>IFERROR(VLOOKUP($B15,자재리스트!$B$4:$M$92,8,FALSE),)</f>
        <v>KRW</v>
      </c>
      <c r="K15" s="29">
        <f>IFERROR(VLOOKUP($B15,자재리스트!$B$4:$M$92,9,FALSE),)</f>
        <v>1200000</v>
      </c>
      <c r="L15" s="29">
        <f>I15*K15</f>
        <v>2400000</v>
      </c>
      <c r="M15" s="27" t="str">
        <f>IFERROR(VLOOKUP($B15,자재리스트!$B$4:$M$92,10,FALSE),)</f>
        <v>피앤피컴포넌츠</v>
      </c>
      <c r="N15" s="27" t="str">
        <f>IFERROR(VLOOKUP($B15,자재리스트!$B$4:$M$92,11,FALSE),)</f>
        <v>거래명세서</v>
      </c>
      <c r="O15" s="27" t="str">
        <f>IFERROR(VLOOKUP($B15,자재리스트!$B$4:$M$92,12,FALSE),)</f>
        <v>panel mount / flush type</v>
      </c>
    </row>
    <row r="16" spans="1:16" ht="25.25" customHeight="1" x14ac:dyDescent="0.45">
      <c r="A16" s="26">
        <v>6</v>
      </c>
      <c r="B16" s="27" t="s">
        <v>94</v>
      </c>
      <c r="C16" s="28" t="str">
        <f>IFERROR(VLOOKUP($B16,자재리스트!$B$4:$M$92,2,FALSE),)</f>
        <v>NAS camera housing</v>
      </c>
      <c r="D16" s="27"/>
      <c r="E16" s="27" t="str">
        <f>IFERROR(VLOOKUP($B16,자재리스트!$B$4:$M$92,4,FALSE),)</f>
        <v>하우징</v>
      </c>
      <c r="F16" s="27" t="str">
        <f>IFERROR(VLOOKUP($B16,자재리스트!$B$4:$M$92,5,FALSE),)</f>
        <v>-</v>
      </c>
      <c r="G16" s="27" t="str">
        <f>IFERROR(VLOOKUP($B16,자재리스트!$B$4:$M$92,6,FALSE),)</f>
        <v>한국</v>
      </c>
      <c r="H16" s="27" t="str">
        <f>IFERROR(VLOOKUP($B16,자재리스트!$B$4:$M$92,7,FALSE),)</f>
        <v>개</v>
      </c>
      <c r="I16" s="29">
        <v>1</v>
      </c>
      <c r="J16" s="29" t="str">
        <f>IFERROR(VLOOKUP($B16,자재리스트!$B$4:$M$92,8,FALSE),)</f>
        <v>KRW</v>
      </c>
      <c r="K16" s="29">
        <f>IFERROR(VLOOKUP($B16,자재리스트!$B$4:$M$92,9,FALSE),)</f>
        <v>4000000</v>
      </c>
      <c r="L16" s="29">
        <f>I16*K16</f>
        <v>4000000</v>
      </c>
      <c r="M16" s="27" t="str">
        <f>IFERROR(VLOOKUP($B16,자재리스트!$B$4:$M$92,10,FALSE),)</f>
        <v>MRC</v>
      </c>
      <c r="N16" s="27" t="str">
        <f>IFERROR(VLOOKUP($B16,자재리스트!$B$4:$M$92,11,FALSE),)</f>
        <v>거래명세서</v>
      </c>
      <c r="O16" s="27" t="str">
        <f>IFERROR(VLOOKUP($B16,자재리스트!$B$4:$M$92,12,FALSE),)</f>
        <v xml:space="preserve"> - </v>
      </c>
    </row>
    <row r="17" spans="1:15" ht="25.25" customHeight="1" x14ac:dyDescent="0.45">
      <c r="A17" s="26">
        <v>7</v>
      </c>
      <c r="B17" s="27" t="s">
        <v>95</v>
      </c>
      <c r="C17" s="28" t="str">
        <f>IFERROR(VLOOKUP($B17,자재리스트!$B$4:$M$92,2,FALSE),)</f>
        <v>NAS Camera housing cable</v>
      </c>
      <c r="D17" s="27"/>
      <c r="E17" s="27" t="str">
        <f>IFERROR(VLOOKUP($B17,자재리스트!$B$4:$M$92,4,FALSE),)</f>
        <v xml:space="preserve">2세대 카메라하우징 케이블 </v>
      </c>
      <c r="F17" s="27" t="str">
        <f>IFERROR(VLOOKUP($B17,자재리스트!$B$4:$M$92,5,FALSE),)</f>
        <v xml:space="preserve"> - </v>
      </c>
      <c r="G17" s="27" t="str">
        <f>IFERROR(VLOOKUP($B17,자재리스트!$B$4:$M$92,6,FALSE),)</f>
        <v>한국</v>
      </c>
      <c r="H17" s="27" t="str">
        <f>IFERROR(VLOOKUP($B17,자재리스트!$B$4:$M$92,7,FALSE),)</f>
        <v>개</v>
      </c>
      <c r="I17" s="29">
        <v>6</v>
      </c>
      <c r="J17" s="29" t="str">
        <f>IFERROR(VLOOKUP($B17,자재리스트!$B$4:$M$92,8,FALSE),)</f>
        <v>KRW</v>
      </c>
      <c r="K17" s="29">
        <f>IFERROR(VLOOKUP($B17,자재리스트!$B$4:$M$92,9,FALSE),)</f>
        <v>211840</v>
      </c>
      <c r="L17" s="29">
        <f>I17*K17</f>
        <v>1271040</v>
      </c>
      <c r="M17" s="27" t="str">
        <f>IFERROR(VLOOKUP($B17,자재리스트!$B$4:$M$92,10,FALSE),)</f>
        <v>미림테크놀러지</v>
      </c>
      <c r="N17" s="27" t="str">
        <f>IFERROR(VLOOKUP($B17,자재리스트!$B$4:$M$92,11,FALSE),)</f>
        <v>거래명세서</v>
      </c>
      <c r="O17" s="27" t="str">
        <f>IFERROR(VLOOKUP($B17,자재리스트!$B$4:$M$92,12,FALSE),)</f>
        <v xml:space="preserve"> - </v>
      </c>
    </row>
    <row r="18" spans="1:15" ht="25.25" customHeight="1" x14ac:dyDescent="0.45">
      <c r="A18" s="26">
        <v>8</v>
      </c>
      <c r="B18" s="27" t="s">
        <v>96</v>
      </c>
      <c r="C18" s="28" t="str">
        <f>IFERROR(VLOOKUP($B18,자재리스트!$B$4:$M$92,2,FALSE),)</f>
        <v>EO Camera</v>
      </c>
      <c r="D18" s="27"/>
      <c r="E18" s="27" t="str">
        <f>IFERROR(VLOOKUP($B18,자재리스트!$B$4:$M$92,4,FALSE),)</f>
        <v>광학 카메라(4K)</v>
      </c>
      <c r="F18" s="27" t="str">
        <f>IFERROR(VLOOKUP($B18,자재리스트!$B$4:$M$92,5,FALSE),)</f>
        <v>-</v>
      </c>
      <c r="G18" s="27" t="str">
        <f>IFERROR(VLOOKUP($B18,자재리스트!$B$4:$M$92,6,FALSE),)</f>
        <v>한국</v>
      </c>
      <c r="H18" s="27" t="str">
        <f>IFERROR(VLOOKUP($B18,자재리스트!$B$4:$M$92,7,FALSE),)</f>
        <v>세트</v>
      </c>
      <c r="I18" s="29">
        <v>1</v>
      </c>
      <c r="J18" s="29" t="str">
        <f>IFERROR(VLOOKUP($B18,자재리스트!$B$4:$M$92,8,FALSE),)</f>
        <v>KRW</v>
      </c>
      <c r="K18" s="29">
        <f>IFERROR(VLOOKUP($B18,자재리스트!$B$4:$M$92,9,FALSE),)</f>
        <v>2079000</v>
      </c>
      <c r="L18" s="29">
        <f t="shared" si="0"/>
        <v>2079000</v>
      </c>
      <c r="M18" s="27" t="str">
        <f>IFERROR(VLOOKUP($B18,자재리스트!$B$4:$M$92,10,FALSE),)</f>
        <v>아르게스마린</v>
      </c>
      <c r="N18" s="27" t="str">
        <f>IFERROR(VLOOKUP($B18,자재리스트!$B$4:$M$92,11,FALSE),)</f>
        <v>거래명세서</v>
      </c>
      <c r="O18" s="27" t="str">
        <f>IFERROR(VLOOKUP($B18,자재리스트!$B$4:$M$92,12,FALSE),)</f>
        <v>w. IR Ip-board, EO glass, Receptacle harness, Waterproof cap</v>
      </c>
    </row>
    <row r="19" spans="1:15" ht="25.25" customHeight="1" x14ac:dyDescent="0.45">
      <c r="A19" s="26">
        <v>9</v>
      </c>
      <c r="B19" s="27" t="s">
        <v>68</v>
      </c>
      <c r="C19" s="28" t="str">
        <f>IFERROR(VLOOKUP($B19,자재리스트!$B$4:$M$92,2,FALSE),)</f>
        <v>IR camera</v>
      </c>
      <c r="D19" s="27"/>
      <c r="E19" s="27" t="str">
        <f>IFERROR(VLOOKUP($B19,자재리스트!$B$4:$M$92,4,FALSE),)</f>
        <v>열화상 카메라</v>
      </c>
      <c r="F19" s="27" t="str">
        <f>IFERROR(VLOOKUP($B19,자재리스트!$B$4:$M$92,5,FALSE),)</f>
        <v xml:space="preserve"> - </v>
      </c>
      <c r="G19" s="27" t="str">
        <f>IFERROR(VLOOKUP($B19,자재리스트!$B$4:$M$92,6,FALSE),)</f>
        <v>미국</v>
      </c>
      <c r="H19" s="27" t="str">
        <f>IFERROR(VLOOKUP($B19,자재리스트!$B$4:$M$92,7,FALSE),)</f>
        <v>개</v>
      </c>
      <c r="I19" s="29">
        <v>3</v>
      </c>
      <c r="J19" s="29" t="str">
        <f>IFERROR(VLOOKUP($B19,자재리스트!$B$4:$M$92,8,FALSE),)</f>
        <v>KRW</v>
      </c>
      <c r="K19" s="29">
        <f>IFERROR(VLOOKUP($B19,자재리스트!$B$4:$M$92,9,FALSE),)</f>
        <v>2487523</v>
      </c>
      <c r="L19" s="29">
        <f t="shared" si="0"/>
        <v>7462569</v>
      </c>
      <c r="M19" s="27" t="str">
        <f>IFERROR(VLOOKUP($B19,자재리스트!$B$4:$M$92,10,FALSE),)</f>
        <v>IRKEN/FLIR</v>
      </c>
      <c r="N19" s="27" t="str">
        <f>IFERROR(VLOOKUP($B19,자재리스트!$B$4:$M$92,11,FALSE),)</f>
        <v>거래명세서</v>
      </c>
      <c r="O19" s="27" t="str">
        <f>IFERROR(VLOOKUP($B19,자재리스트!$B$4:$M$92,12,FALSE),)</f>
        <v>w. VPC KIT</v>
      </c>
    </row>
    <row r="20" spans="1:15" ht="25.25" customHeight="1" x14ac:dyDescent="0.45">
      <c r="A20" s="26">
        <v>10</v>
      </c>
      <c r="B20" s="27" t="s">
        <v>97</v>
      </c>
      <c r="C20" s="28" t="str">
        <f>IFERROR(VLOOKUP($B20,자재리스트!$B$4:$M$92,2,FALSE),)</f>
        <v>IR camera window</v>
      </c>
      <c r="D20" s="27"/>
      <c r="E20" s="27" t="str">
        <f>IFERROR(VLOOKUP($B20,자재리스트!$B$4:$M$92,4,FALSE),)</f>
        <v>열화상 카메라 윈도우</v>
      </c>
      <c r="F20" s="27" t="str">
        <f>IFERROR(VLOOKUP($B20,자재리스트!$B$4:$M$92,5,FALSE),)</f>
        <v>-</v>
      </c>
      <c r="G20" s="27" t="str">
        <f>IFERROR(VLOOKUP($B20,자재리스트!$B$4:$M$92,6,FALSE),)</f>
        <v>중국</v>
      </c>
      <c r="H20" s="27" t="str">
        <f>IFERROR(VLOOKUP($B20,자재리스트!$B$4:$M$92,7,FALSE),)</f>
        <v>개</v>
      </c>
      <c r="I20" s="29">
        <v>3</v>
      </c>
      <c r="J20" s="29" t="str">
        <f>IFERROR(VLOOKUP($B20,자재리스트!$B$4:$M$92,8,FALSE),)</f>
        <v>KRW</v>
      </c>
      <c r="K20" s="29">
        <f>IFERROR(VLOOKUP($B20,자재리스트!$B$4:$M$92,9,FALSE),)</f>
        <v>279889</v>
      </c>
      <c r="L20" s="29">
        <f t="shared" si="0"/>
        <v>839667</v>
      </c>
      <c r="M20" s="27" t="str">
        <f>IFERROR(VLOOKUP($B20,자재리스트!$B$4:$M$92,10,FALSE),)</f>
        <v>센서캠</v>
      </c>
      <c r="N20" s="27" t="str">
        <f>IFERROR(VLOOKUP($B20,자재리스트!$B$4:$M$92,11,FALSE),)</f>
        <v>거래명세서</v>
      </c>
      <c r="O20" s="27" t="str">
        <f>IFERROR(VLOOKUP($B20,자재리스트!$B$4:$M$92,12,FALSE),)</f>
        <v>2세대 용 (직경 45mm)</v>
      </c>
    </row>
    <row r="21" spans="1:15" ht="25.25" customHeight="1" x14ac:dyDescent="0.45">
      <c r="A21" s="26">
        <v>11</v>
      </c>
      <c r="B21" s="27" t="s">
        <v>88</v>
      </c>
      <c r="C21" s="28" t="str">
        <f>IFERROR(VLOOKUP($B21,자재리스트!$B$4:$M$92,2,FALSE),)</f>
        <v>Main rack</v>
      </c>
      <c r="D21" s="27"/>
      <c r="E21" s="27" t="str">
        <f>IFERROR(VLOOKUP($B21,자재리스트!$B$4:$M$92,4,FALSE),)</f>
        <v>서버/HUB 등 설치용 Rack</v>
      </c>
      <c r="F21" s="27" t="str">
        <f>IFERROR(VLOOKUP($B21,자재리스트!$B$4:$M$92,5,FALSE),)</f>
        <v xml:space="preserve"> - </v>
      </c>
      <c r="G21" s="27" t="str">
        <f>IFERROR(VLOOKUP($B21,자재리스트!$B$4:$M$92,6,FALSE),)</f>
        <v>한국</v>
      </c>
      <c r="H21" s="27" t="str">
        <f>IFERROR(VLOOKUP($B21,자재리스트!$B$4:$M$92,7,FALSE),)</f>
        <v>개</v>
      </c>
      <c r="I21" s="29">
        <v>1</v>
      </c>
      <c r="J21" s="29" t="str">
        <f>IFERROR(VLOOKUP($B21,자재리스트!$B$4:$M$92,8,FALSE),)</f>
        <v>KRW</v>
      </c>
      <c r="K21" s="29">
        <f>IFERROR(VLOOKUP($B21,자재리스트!$B$4:$M$92,9,FALSE),)</f>
        <v>3900000</v>
      </c>
      <c r="L21" s="29">
        <f>I21*K21</f>
        <v>3900000</v>
      </c>
      <c r="M21" s="27" t="str">
        <f>IFERROR(VLOOKUP($B21,자재리스트!$B$4:$M$92,10,FALSE),)</f>
        <v>MRC</v>
      </c>
      <c r="N21" s="27" t="str">
        <f>IFERROR(VLOOKUP($B21,자재리스트!$B$4:$M$92,11,FALSE),)</f>
        <v>거래명세서</v>
      </c>
      <c r="O21" s="27" t="str">
        <f>IFERROR(VLOOKUP($B21,자재리스트!$B$4:$M$92,12,FALSE),)</f>
        <v xml:space="preserve"> - </v>
      </c>
    </row>
    <row r="22" spans="1:15" ht="25.25" customHeight="1" x14ac:dyDescent="0.45">
      <c r="A22" s="26">
        <v>12</v>
      </c>
      <c r="B22" s="27" t="s">
        <v>89</v>
      </c>
      <c r="C22" s="28" t="str">
        <f>IFERROR(VLOOKUP($B22,자재리스트!$B$4:$M$92,2,FALSE),)</f>
        <v>Network switch</v>
      </c>
      <c r="D22" s="27"/>
      <c r="E22" s="27" t="str">
        <f>IFERROR(VLOOKUP($B22,자재리스트!$B$4:$M$92,4,FALSE),)</f>
        <v>허브 (선급인증품)</v>
      </c>
      <c r="F22" s="27" t="str">
        <f>IFERROR(VLOOKUP($B22,자재리스트!$B$4:$M$92,5,FALSE),)</f>
        <v xml:space="preserve"> - </v>
      </c>
      <c r="G22" s="27" t="str">
        <f>IFERROR(VLOOKUP($B22,자재리스트!$B$4:$M$92,6,FALSE),)</f>
        <v>한국</v>
      </c>
      <c r="H22" s="27" t="str">
        <f>IFERROR(VLOOKUP($B22,자재리스트!$B$4:$M$92,7,FALSE),)</f>
        <v>개</v>
      </c>
      <c r="I22" s="29">
        <v>2</v>
      </c>
      <c r="J22" s="29" t="str">
        <f>IFERROR(VLOOKUP($B22,자재리스트!$B$4:$M$92,8,FALSE),)</f>
        <v>KRW</v>
      </c>
      <c r="K22" s="29">
        <f>IFERROR(VLOOKUP($B22,자재리스트!$B$4:$M$92,9,FALSE),)</f>
        <v>1596000</v>
      </c>
      <c r="L22" s="29">
        <f t="shared" si="0"/>
        <v>3192000</v>
      </c>
      <c r="M22" s="27" t="str">
        <f>IFERROR(VLOOKUP($B22,자재리스트!$B$4:$M$92,10,FALSE),)</f>
        <v>여의시스템</v>
      </c>
      <c r="N22" s="27" t="str">
        <f>IFERROR(VLOOKUP($B22,자재리스트!$B$4:$M$92,11,FALSE),)</f>
        <v>거래명세서</v>
      </c>
      <c r="O22" s="27" t="str">
        <f>IFERROR(VLOOKUP($B22,자재리스트!$B$4:$M$92,12,FALSE),)</f>
        <v xml:space="preserve"> - </v>
      </c>
    </row>
    <row r="23" spans="1:15" ht="25.25" customHeight="1" x14ac:dyDescent="0.45">
      <c r="A23" s="26">
        <v>13</v>
      </c>
      <c r="B23" s="27" t="s">
        <v>90</v>
      </c>
      <c r="C23" s="28" t="str">
        <f>IFERROR(VLOOKUP($B23,자재리스트!$B$4:$M$92,2,FALSE),)</f>
        <v>Serial to Ethernet</v>
      </c>
      <c r="D23" s="27"/>
      <c r="E23" s="27" t="str">
        <f>IFERROR(VLOOKUP($B23,자재리스트!$B$4:$M$92,4,FALSE),)</f>
        <v>시리얼 통신을 LAN으로 변환</v>
      </c>
      <c r="F23" s="27" t="str">
        <f>IFERROR(VLOOKUP($B23,자재리스트!$B$4:$M$92,5,FALSE),)</f>
        <v xml:space="preserve"> - </v>
      </c>
      <c r="G23" s="27" t="str">
        <f>IFERROR(VLOOKUP($B23,자재리스트!$B$4:$M$92,6,FALSE),)</f>
        <v>한국</v>
      </c>
      <c r="H23" s="27" t="str">
        <f>IFERROR(VLOOKUP($B23,자재리스트!$B$4:$M$92,7,FALSE),)</f>
        <v>개</v>
      </c>
      <c r="I23" s="29">
        <v>2</v>
      </c>
      <c r="J23" s="29" t="str">
        <f>IFERROR(VLOOKUP($B23,자재리스트!$B$4:$M$92,8,FALSE),)</f>
        <v>KRW</v>
      </c>
      <c r="K23" s="29">
        <f>IFERROR(VLOOKUP($B23,자재리스트!$B$4:$M$92,9,FALSE),)</f>
        <v>780000</v>
      </c>
      <c r="L23" s="29">
        <f>I23*K23</f>
        <v>1560000</v>
      </c>
      <c r="M23" s="27" t="str">
        <f>IFERROR(VLOOKUP($B23,자재리스트!$B$4:$M$92,10,FALSE),)</f>
        <v>여의시스템</v>
      </c>
      <c r="N23" s="27" t="str">
        <f>IFERROR(VLOOKUP($B23,자재리스트!$B$4:$M$92,11,FALSE),)</f>
        <v>거래명세서</v>
      </c>
      <c r="O23" s="27" t="str">
        <f>IFERROR(VLOOKUP($B23,자재리스트!$B$4:$M$92,12,FALSE),)</f>
        <v xml:space="preserve"> - </v>
      </c>
    </row>
    <row r="24" spans="1:15" ht="25.25" customHeight="1" x14ac:dyDescent="0.45">
      <c r="A24" s="26">
        <v>14</v>
      </c>
      <c r="B24" s="27" t="s">
        <v>91</v>
      </c>
      <c r="C24" s="28" t="str">
        <f>IFERROR(VLOOKUP($B24,자재리스트!$B$4:$M$92,2,FALSE),)</f>
        <v>Actisense OPTO-4</v>
      </c>
      <c r="D24" s="27"/>
      <c r="E24" s="27" t="str">
        <f>IFERROR(VLOOKUP($B24,자재리스트!$B$4:$M$92,4,FALSE),)</f>
        <v>MOXA NPort5450i 케이블</v>
      </c>
      <c r="F24" s="27" t="str">
        <f>IFERROR(VLOOKUP($B24,자재리스트!$B$4:$M$92,5,FALSE),)</f>
        <v xml:space="preserve"> - </v>
      </c>
      <c r="G24" s="27" t="str">
        <f>IFERROR(VLOOKUP($B24,자재리스트!$B$4:$M$92,6,FALSE),)</f>
        <v>한국</v>
      </c>
      <c r="H24" s="27" t="str">
        <f>IFERROR(VLOOKUP($B24,자재리스트!$B$4:$M$92,7,FALSE),)</f>
        <v>개</v>
      </c>
      <c r="I24" s="29">
        <v>4</v>
      </c>
      <c r="J24" s="29" t="str">
        <f>IFERROR(VLOOKUP($B24,자재리스트!$B$4:$M$92,8,FALSE),)</f>
        <v>KRW</v>
      </c>
      <c r="K24" s="29">
        <f>IFERROR(VLOOKUP($B24,자재리스트!$B$4:$M$92,9,FALSE),)</f>
        <v>120000</v>
      </c>
      <c r="L24" s="29">
        <f>I24*K24</f>
        <v>480000</v>
      </c>
      <c r="M24" s="27" t="str">
        <f>IFERROR(VLOOKUP($B24,자재리스트!$B$4:$M$92,10,FALSE),)</f>
        <v>마린크래프트</v>
      </c>
      <c r="N24" s="27" t="str">
        <f>IFERROR(VLOOKUP($B24,자재리스트!$B$4:$M$92,11,FALSE),)</f>
        <v>거래명세서</v>
      </c>
      <c r="O24" s="27" t="str">
        <f>IFERROR(VLOOKUP($B24,자재리스트!$B$4:$M$92,12,FALSE),)</f>
        <v xml:space="preserve"> - </v>
      </c>
    </row>
    <row r="25" spans="1:15" ht="25.25" customHeight="1" x14ac:dyDescent="0.45">
      <c r="A25" s="26">
        <v>15</v>
      </c>
      <c r="B25" s="27" t="s">
        <v>82</v>
      </c>
      <c r="C25" s="28" t="str">
        <f>IFERROR(VLOOKUP($B25,자재리스트!$B$4:$M$92,2,FALSE),)</f>
        <v>Firewall</v>
      </c>
      <c r="D25" s="27"/>
      <c r="E25" s="27" t="str">
        <f>IFERROR(VLOOKUP($B25,자재리스트!$B$4:$M$92,4,FALSE),)</f>
        <v>방화벽 (선급인증품)</v>
      </c>
      <c r="F25" s="27" t="str">
        <f>IFERROR(VLOOKUP($B25,자재리스트!$B$4:$M$92,5,FALSE),)</f>
        <v xml:space="preserve"> - </v>
      </c>
      <c r="G25" s="27" t="str">
        <f>IFERROR(VLOOKUP($B25,자재리스트!$B$4:$M$92,6,FALSE),)</f>
        <v>한국</v>
      </c>
      <c r="H25" s="27" t="str">
        <f>IFERROR(VLOOKUP($B25,자재리스트!$B$4:$M$92,7,FALSE),)</f>
        <v>개</v>
      </c>
      <c r="I25" s="29">
        <v>1</v>
      </c>
      <c r="J25" s="29" t="str">
        <f>IFERROR(VLOOKUP($B25,자재리스트!$B$4:$M$92,8,FALSE),)</f>
        <v>KRW</v>
      </c>
      <c r="K25" s="29">
        <f>IFERROR(VLOOKUP($B25,자재리스트!$B$4:$M$92,9,FALSE),)</f>
        <v>3800000</v>
      </c>
      <c r="L25" s="29">
        <f t="shared" si="0"/>
        <v>3800000</v>
      </c>
      <c r="M25" s="27" t="str">
        <f>IFERROR(VLOOKUP($B25,자재리스트!$B$4:$M$92,10,FALSE),)</f>
        <v>MRC</v>
      </c>
      <c r="N25" s="27" t="str">
        <f>IFERROR(VLOOKUP($B25,자재리스트!$B$4:$M$92,11,FALSE),)</f>
        <v>거래명세서</v>
      </c>
      <c r="O25" s="27" t="str">
        <f>IFERROR(VLOOKUP($B25,자재리스트!$B$4:$M$92,12,FALSE),)</f>
        <v xml:space="preserve"> - </v>
      </c>
    </row>
    <row r="26" spans="1:15" ht="25.25" customHeight="1" x14ac:dyDescent="0.45">
      <c r="A26" s="26">
        <v>16</v>
      </c>
      <c r="B26" s="27" t="s">
        <v>92</v>
      </c>
      <c r="C26" s="28" t="str">
        <f>IFERROR(VLOOKUP($B26,자재리스트!$B$4:$M$92,2,FALSE),)</f>
        <v>Selector Switch</v>
      </c>
      <c r="D26" s="27"/>
      <c r="E26" s="27" t="str">
        <f>IFERROR(VLOOKUP($B26,자재리스트!$B$4:$M$92,4,FALSE),)</f>
        <v>HiNAS control 선택 스위치</v>
      </c>
      <c r="F26" s="27" t="str">
        <f>IFERROR(VLOOKUP($B26,자재리스트!$B$4:$M$92,5,FALSE),)</f>
        <v xml:space="preserve"> - </v>
      </c>
      <c r="G26" s="27" t="str">
        <f>IFERROR(VLOOKUP($B26,자재리스트!$B$4:$M$92,6,FALSE),)</f>
        <v>한국</v>
      </c>
      <c r="H26" s="27" t="str">
        <f>IFERROR(VLOOKUP($B26,자재리스트!$B$4:$M$92,7,FALSE),)</f>
        <v>개</v>
      </c>
      <c r="I26" s="29">
        <v>1</v>
      </c>
      <c r="J26" s="29" t="str">
        <f>IFERROR(VLOOKUP($B26,자재리스트!$B$4:$M$92,8,FALSE),)</f>
        <v>USD</v>
      </c>
      <c r="K26" s="29">
        <f>IFERROR(VLOOKUP($B26,자재리스트!$B$4:$M$92,9,FALSE),)</f>
        <v>1330</v>
      </c>
      <c r="L26" s="29">
        <f t="shared" si="0"/>
        <v>1330</v>
      </c>
      <c r="M26" s="27" t="str">
        <f>IFERROR(VLOOKUP($B26,자재리스트!$B$4:$M$92,10,FALSE),)</f>
        <v>MRC/YDK</v>
      </c>
      <c r="N26" s="27" t="str">
        <f>IFERROR(VLOOKUP($B26,자재리스트!$B$4:$M$92,11,FALSE),)</f>
        <v>거래명세서</v>
      </c>
      <c r="O26" s="27" t="str">
        <f>IFERROR(VLOOKUP($B26,자재리스트!$B$4:$M$92,12,FALSE),)</f>
        <v>YOKOGAWA (w. DIMMER BOX)</v>
      </c>
    </row>
    <row r="27" spans="1:15" ht="25.25" customHeight="1" x14ac:dyDescent="0.45">
      <c r="A27" s="26">
        <v>17</v>
      </c>
      <c r="B27" s="27" t="s">
        <v>93</v>
      </c>
      <c r="C27" s="28" t="str">
        <f>IFERROR(VLOOKUP($B27,자재리스트!$B$4:$M$92,2,FALSE),)</f>
        <v>UPS</v>
      </c>
      <c r="D27" s="27"/>
      <c r="E27" s="27" t="str">
        <f>IFERROR(VLOOKUP($B27,자재리스트!$B$4:$M$92,4,FALSE),)</f>
        <v>3kVA, 무정전 전원 공급, Rack type</v>
      </c>
      <c r="F27" s="27" t="str">
        <f>IFERROR(VLOOKUP($B27,자재리스트!$B$4:$M$92,5,FALSE),)</f>
        <v xml:space="preserve"> - </v>
      </c>
      <c r="G27" s="27" t="str">
        <f>IFERROR(VLOOKUP($B27,자재리스트!$B$4:$M$92,6,FALSE),)</f>
        <v>한국</v>
      </c>
      <c r="H27" s="27" t="str">
        <f>IFERROR(VLOOKUP($B27,자재리스트!$B$4:$M$92,7,FALSE),)</f>
        <v>개</v>
      </c>
      <c r="I27" s="29">
        <v>1</v>
      </c>
      <c r="J27" s="29" t="str">
        <f>IFERROR(VLOOKUP($B27,자재리스트!$B$4:$M$92,8,FALSE),)</f>
        <v>KRW</v>
      </c>
      <c r="K27" s="29">
        <f>IFERROR(VLOOKUP($B27,자재리스트!$B$4:$M$92,9,FALSE),)</f>
        <v>2840000</v>
      </c>
      <c r="L27" s="29">
        <f t="shared" si="0"/>
        <v>2840000</v>
      </c>
      <c r="M27" s="27" t="str">
        <f>IFERROR(VLOOKUP($B27,자재리스트!$B$4:$M$92,10,FALSE),)</f>
        <v>기호티이에스</v>
      </c>
      <c r="N27" s="27" t="str">
        <f>IFERROR(VLOOKUP($B27,자재리스트!$B$4:$M$92,11,FALSE),)</f>
        <v>거래명세서</v>
      </c>
      <c r="O27" s="27" t="str">
        <f>IFERROR(VLOOKUP($B27,자재리스트!$B$4:$M$92,12,FALSE),)</f>
        <v>마린필터, network card, 케이블 포함</v>
      </c>
    </row>
    <row r="28" spans="1:15" ht="25.25" customHeight="1" x14ac:dyDescent="0.45">
      <c r="A28" s="26">
        <v>18</v>
      </c>
      <c r="B28" s="27" t="s">
        <v>76</v>
      </c>
      <c r="C28" s="28" t="str">
        <f>IFERROR(VLOOKUP($B28,자재리스트!$B$4:$M$92,2,FALSE),)</f>
        <v>멀티탭</v>
      </c>
      <c r="D28" s="27"/>
      <c r="E28" s="27" t="str">
        <f>IFERROR(VLOOKUP($B28,자재리스트!$B$4:$M$92,4,FALSE),)</f>
        <v>UPS용</v>
      </c>
      <c r="F28" s="27" t="str">
        <f>IFERROR(VLOOKUP($B28,자재리스트!$B$4:$M$92,5,FALSE),)</f>
        <v xml:space="preserve"> - </v>
      </c>
      <c r="G28" s="27" t="str">
        <f>IFERROR(VLOOKUP($B28,자재리스트!$B$4:$M$92,6,FALSE),)</f>
        <v>한국</v>
      </c>
      <c r="H28" s="27" t="str">
        <f>IFERROR(VLOOKUP($B28,자재리스트!$B$4:$M$92,7,FALSE),)</f>
        <v>개</v>
      </c>
      <c r="I28" s="29">
        <v>2</v>
      </c>
      <c r="J28" s="29" t="str">
        <f>IFERROR(VLOOKUP($B28,자재리스트!$B$4:$M$92,8,FALSE),)</f>
        <v>KRW</v>
      </c>
      <c r="K28" s="29">
        <f>IFERROR(VLOOKUP($B28,자재리스트!$B$4:$M$92,9,FALSE),)</f>
        <v>10800</v>
      </c>
      <c r="L28" s="29">
        <f t="shared" si="0"/>
        <v>21600</v>
      </c>
      <c r="M28" s="27" t="str">
        <f>IFERROR(VLOOKUP($B28,자재리스트!$B$4:$M$92,10,FALSE),)</f>
        <v>쿠팡</v>
      </c>
      <c r="N28" s="27" t="str">
        <f>IFERROR(VLOOKUP($B28,자재리스트!$B$4:$M$92,11,FALSE),)</f>
        <v>거래명세서</v>
      </c>
      <c r="O28" s="27" t="str">
        <f>IFERROR(VLOOKUP($B28,자재리스트!$B$4:$M$92,12,FALSE),)</f>
        <v xml:space="preserve"> - </v>
      </c>
    </row>
    <row r="29" spans="1:15" ht="25.25" customHeight="1" x14ac:dyDescent="0.45">
      <c r="A29" s="26">
        <v>19</v>
      </c>
      <c r="B29" s="27" t="s">
        <v>77</v>
      </c>
      <c r="C29" s="28" t="str">
        <f>IFERROR(VLOOKUP($B29,자재리스트!$B$4:$M$92,2,FALSE),)</f>
        <v>C13-C14(MALE)</v>
      </c>
      <c r="D29" s="27"/>
      <c r="E29" s="27" t="str">
        <f>IFERROR(VLOOKUP($B29,자재리스트!$B$4:$M$92,4,FALSE),)</f>
        <v>UPS용</v>
      </c>
      <c r="F29" s="27" t="str">
        <f>IFERROR(VLOOKUP($B29,자재리스트!$B$4:$M$92,5,FALSE),)</f>
        <v xml:space="preserve"> - </v>
      </c>
      <c r="G29" s="27" t="str">
        <f>IFERROR(VLOOKUP($B29,자재리스트!$B$4:$M$92,6,FALSE),)</f>
        <v>한국</v>
      </c>
      <c r="H29" s="27" t="str">
        <f>IFERROR(VLOOKUP($B29,자재리스트!$B$4:$M$92,7,FALSE),)</f>
        <v>개</v>
      </c>
      <c r="I29" s="29">
        <v>3</v>
      </c>
      <c r="J29" s="29" t="str">
        <f>IFERROR(VLOOKUP($B29,자재리스트!$B$4:$M$92,8,FALSE),)</f>
        <v>KRW</v>
      </c>
      <c r="K29" s="29">
        <f>IFERROR(VLOOKUP($B29,자재리스트!$B$4:$M$92,9,FALSE),)</f>
        <v>9900</v>
      </c>
      <c r="L29" s="29">
        <f t="shared" si="0"/>
        <v>29700</v>
      </c>
      <c r="M29" s="27" t="str">
        <f>IFERROR(VLOOKUP($B29,자재리스트!$B$4:$M$92,10,FALSE),)</f>
        <v>한주전자</v>
      </c>
      <c r="N29" s="27" t="str">
        <f>IFERROR(VLOOKUP($B29,자재리스트!$B$4:$M$92,11,FALSE),)</f>
        <v>거래명세서</v>
      </c>
      <c r="O29" s="27" t="str">
        <f>IFERROR(VLOOKUP($B29,자재리스트!$B$4:$M$92,12,FALSE),)</f>
        <v xml:space="preserve"> - </v>
      </c>
    </row>
    <row r="30" spans="1:15" ht="24.75" customHeight="1" x14ac:dyDescent="0.45">
      <c r="A30" s="26">
        <v>20</v>
      </c>
      <c r="B30" s="27" t="s">
        <v>98</v>
      </c>
      <c r="C30" s="28" t="str">
        <f>IFERROR(VLOOKUP($B30,자재리스트!$B$4:$M$92,2,FALSE),)</f>
        <v>Network PoE Switch</v>
      </c>
      <c r="D30" s="27"/>
      <c r="E30" s="27" t="str">
        <f>IFERROR(VLOOKUP($B30,자재리스트!$B$4:$M$92,4,FALSE),)</f>
        <v>IP 카메라에 전원 공급</v>
      </c>
      <c r="F30" s="27" t="str">
        <f>IFERROR(VLOOKUP($B30,자재리스트!$B$4:$M$92,5,FALSE),)</f>
        <v xml:space="preserve"> - </v>
      </c>
      <c r="G30" s="27" t="str">
        <f>IFERROR(VLOOKUP($B30,자재리스트!$B$4:$M$92,6,FALSE),)</f>
        <v>한국</v>
      </c>
      <c r="H30" s="27" t="str">
        <f>IFERROR(VLOOKUP($B30,자재리스트!$B$4:$M$92,7,FALSE),)</f>
        <v>개</v>
      </c>
      <c r="I30" s="29">
        <v>1</v>
      </c>
      <c r="J30" s="29" t="str">
        <f>IFERROR(VLOOKUP($B30,자재리스트!$B$4:$M$92,8,FALSE),)</f>
        <v>KRW</v>
      </c>
      <c r="K30" s="29">
        <f>IFERROR(VLOOKUP($B30,자재리스트!$B$4:$M$92,9,FALSE),)</f>
        <v>2213000</v>
      </c>
      <c r="L30" s="29">
        <f t="shared" si="0"/>
        <v>2213000</v>
      </c>
      <c r="M30" s="27" t="str">
        <f>IFERROR(VLOOKUP($B30,자재리스트!$B$4:$M$92,10,FALSE),)</f>
        <v>여의시스템</v>
      </c>
      <c r="N30" s="27" t="str">
        <f>IFERROR(VLOOKUP($B30,자재리스트!$B$4:$M$92,11,FALSE),)</f>
        <v>거래명세서</v>
      </c>
      <c r="O30" s="27" t="str">
        <f>IFERROR(VLOOKUP($B30,자재리스트!$B$4:$M$92,12,FALSE),)</f>
        <v xml:space="preserve"> - </v>
      </c>
    </row>
    <row r="31" spans="1:15" ht="24.75" customHeight="1" x14ac:dyDescent="0.45">
      <c r="A31" s="26">
        <v>21</v>
      </c>
      <c r="B31" s="27" t="s">
        <v>99</v>
      </c>
      <c r="C31" s="28" t="str">
        <f>IFERROR(VLOOKUP($B31,자재리스트!$B$4:$M$92,2,FALSE),)</f>
        <v>UNO2-PS-1AC-24DC-240W</v>
      </c>
      <c r="D31" s="27"/>
      <c r="E31" s="27" t="str">
        <f>IFERROR(VLOOKUP($B31,자재리스트!$B$4:$M$92,4,FALSE),)</f>
        <v>POE SWITCH 용 240W 파워 서플라이</v>
      </c>
      <c r="F31" s="27" t="str">
        <f>IFERROR(VLOOKUP($B31,자재리스트!$B$4:$M$92,5,FALSE),)</f>
        <v xml:space="preserve"> - </v>
      </c>
      <c r="G31" s="27" t="str">
        <f>IFERROR(VLOOKUP($B31,자재리스트!$B$4:$M$92,6,FALSE),)</f>
        <v>한국</v>
      </c>
      <c r="H31" s="27" t="str">
        <f>IFERROR(VLOOKUP($B31,자재리스트!$B$4:$M$92,7,FALSE),)</f>
        <v>개</v>
      </c>
      <c r="I31" s="29">
        <v>1</v>
      </c>
      <c r="J31" s="29" t="str">
        <f>IFERROR(VLOOKUP($B31,자재리스트!$B$4:$M$92,8,FALSE),)</f>
        <v>KRW</v>
      </c>
      <c r="K31" s="29">
        <f>IFERROR(VLOOKUP($B31,자재리스트!$B$4:$M$92,9,FALSE),)</f>
        <v>190000</v>
      </c>
      <c r="L31" s="29">
        <f t="shared" si="0"/>
        <v>190000</v>
      </c>
      <c r="M31" s="27" t="str">
        <f>IFERROR(VLOOKUP($B31,자재리스트!$B$4:$M$92,10,FALSE),)</f>
        <v>세종전자</v>
      </c>
      <c r="N31" s="27" t="str">
        <f>IFERROR(VLOOKUP($B31,자재리스트!$B$4:$M$92,11,FALSE),)</f>
        <v>거래명세서</v>
      </c>
      <c r="O31" s="27">
        <f>IFERROR(VLOOKUP($B31,자재리스트!$B$4:$M$92,12,FALSE),)</f>
        <v>0</v>
      </c>
    </row>
    <row r="32" spans="1:15" ht="17.5" x14ac:dyDescent="0.45">
      <c r="C32" s="120" t="s">
        <v>78</v>
      </c>
      <c r="D32" s="120"/>
      <c r="E32" s="120"/>
      <c r="F32" s="120"/>
      <c r="G32" s="120"/>
      <c r="H32" s="120"/>
      <c r="I32" s="120"/>
      <c r="J32" s="120"/>
      <c r="K32" s="120"/>
      <c r="L32" s="120"/>
      <c r="M32" s="120"/>
      <c r="N32" s="120"/>
      <c r="O32" s="120"/>
    </row>
    <row r="33" spans="3:15" ht="17.5" x14ac:dyDescent="0.45">
      <c r="C33" s="120" t="s">
        <v>79</v>
      </c>
      <c r="D33" s="120"/>
      <c r="E33" s="120"/>
      <c r="F33" s="120"/>
      <c r="G33" s="120"/>
      <c r="H33" s="120"/>
      <c r="I33" s="120"/>
      <c r="J33" s="120"/>
      <c r="K33" s="120"/>
      <c r="L33" s="120"/>
      <c r="M33" s="120"/>
      <c r="N33" s="120"/>
      <c r="O33" s="120"/>
    </row>
  </sheetData>
  <mergeCells count="4">
    <mergeCell ref="A2:O2"/>
    <mergeCell ref="C10:D10"/>
    <mergeCell ref="C32:O32"/>
    <mergeCell ref="C33:O33"/>
  </mergeCells>
  <phoneticPr fontId="3" type="noConversion"/>
  <printOptions horizontalCentered="1"/>
  <pageMargins left="0.70866141732283472" right="0.70866141732283472" top="0.74803149606299213" bottom="0.74803149606299213" header="0.31496062992125984" footer="0.31496062992125984"/>
  <pageSetup paperSize="9" scale="67" fitToWidth="0" orientation="landscape" r:id="rId1"/>
  <headerFooter>
    <oddFooter>&amp;L_x000D_&amp;1#&amp;"Calibri"&amp;9&amp;K000000 Confidential | AVIKUS – Unauthorized distribution is strictly prohibited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D6EB2-C814-4347-9809-9A77C4341410}">
  <sheetPr>
    <tabColor rgb="FFFF0000"/>
    <pageSetUpPr fitToPage="1"/>
  </sheetPr>
  <dimension ref="A1:P30"/>
  <sheetViews>
    <sheetView showGridLines="0" view="pageBreakPreview" topLeftCell="A8" zoomScaleNormal="100" zoomScaleSheetLayoutView="100" workbookViewId="0">
      <selection activeCell="J20" sqref="J20"/>
    </sheetView>
  </sheetViews>
  <sheetFormatPr defaultColWidth="10" defaultRowHeight="17" x14ac:dyDescent="0.45"/>
  <cols>
    <col min="1" max="1" width="6.4140625" style="16" customWidth="1"/>
    <col min="2" max="2" width="13.5" style="16" customWidth="1"/>
    <col min="3" max="3" width="2.08203125" style="16" customWidth="1"/>
    <col min="4" max="5" width="20" style="16" customWidth="1"/>
    <col min="6" max="9" width="10" style="16"/>
    <col min="10" max="10" width="7" style="16" bestFit="1" customWidth="1"/>
    <col min="11" max="12" width="10" style="16"/>
    <col min="13" max="13" width="16.1640625" style="16" customWidth="1"/>
    <col min="14" max="14" width="14.5" style="16" customWidth="1"/>
    <col min="15" max="15" width="13" style="16" customWidth="1"/>
    <col min="16" max="16384" width="10" style="16"/>
  </cols>
  <sheetData>
    <row r="1" spans="1:16" x14ac:dyDescent="0.45">
      <c r="A1" s="34"/>
      <c r="B1" s="34"/>
      <c r="C1" s="34"/>
      <c r="D1" s="34"/>
      <c r="E1" s="34"/>
      <c r="F1" s="34"/>
      <c r="G1" s="34"/>
      <c r="H1" s="34"/>
      <c r="I1" s="34"/>
      <c r="J1" s="34"/>
      <c r="K1" s="34"/>
      <c r="L1" s="34"/>
      <c r="M1" s="34"/>
      <c r="N1" s="34"/>
      <c r="O1" s="34"/>
    </row>
    <row r="2" spans="1:16" ht="30" x14ac:dyDescent="0.75">
      <c r="A2" s="121" t="s">
        <v>38</v>
      </c>
      <c r="B2" s="121"/>
      <c r="C2" s="121"/>
      <c r="D2" s="121"/>
      <c r="E2" s="121"/>
      <c r="F2" s="121"/>
      <c r="G2" s="121"/>
      <c r="H2" s="121"/>
      <c r="I2" s="121"/>
      <c r="J2" s="121"/>
      <c r="K2" s="121"/>
      <c r="L2" s="121"/>
      <c r="M2" s="121"/>
      <c r="N2" s="121"/>
      <c r="O2" s="121"/>
    </row>
    <row r="3" spans="1:16" x14ac:dyDescent="0.45">
      <c r="A3" s="34"/>
      <c r="B3" s="34"/>
      <c r="C3" s="34" t="s">
        <v>39</v>
      </c>
      <c r="D3" s="34"/>
      <c r="E3" s="34"/>
      <c r="F3" s="34"/>
      <c r="G3" s="34"/>
      <c r="H3" s="34"/>
      <c r="I3" s="34"/>
      <c r="J3" s="34"/>
      <c r="K3" s="34"/>
      <c r="L3" s="34"/>
      <c r="M3" s="34"/>
      <c r="N3" s="34"/>
      <c r="O3" s="34"/>
    </row>
    <row r="4" spans="1:16" ht="21" customHeight="1" x14ac:dyDescent="0.45">
      <c r="A4" s="35" t="s">
        <v>40</v>
      </c>
      <c r="B4" s="19"/>
      <c r="C4" s="19" t="s">
        <v>41</v>
      </c>
      <c r="D4" s="20" t="s">
        <v>27</v>
      </c>
      <c r="E4" s="36"/>
      <c r="F4" s="36"/>
      <c r="G4" s="36"/>
      <c r="H4" s="36"/>
      <c r="I4" s="36"/>
      <c r="J4" s="36"/>
      <c r="K4" s="36"/>
      <c r="L4" s="36"/>
      <c r="M4" s="36"/>
      <c r="N4" s="36"/>
      <c r="O4" s="36"/>
    </row>
    <row r="5" spans="1:16" ht="21" customHeight="1" x14ac:dyDescent="0.45">
      <c r="A5" s="36" t="s">
        <v>43</v>
      </c>
      <c r="C5" s="16" t="s">
        <v>41</v>
      </c>
      <c r="D5" s="16" t="s">
        <v>26</v>
      </c>
      <c r="E5" s="36"/>
      <c r="F5" s="36"/>
      <c r="G5" s="36"/>
      <c r="H5" s="36"/>
      <c r="I5" s="36"/>
      <c r="J5" s="36"/>
      <c r="K5" s="36"/>
      <c r="L5" s="36"/>
      <c r="M5" s="36"/>
      <c r="N5" s="36"/>
      <c r="O5" s="36"/>
    </row>
    <row r="6" spans="1:16" ht="21" customHeight="1" x14ac:dyDescent="0.45">
      <c r="A6" s="36" t="s">
        <v>44</v>
      </c>
      <c r="C6" s="16" t="s">
        <v>41</v>
      </c>
      <c r="E6" s="36"/>
      <c r="F6" s="36"/>
      <c r="G6" s="36"/>
      <c r="H6" s="36"/>
      <c r="I6" s="36"/>
      <c r="J6" s="36"/>
      <c r="K6" s="36"/>
      <c r="L6" s="36"/>
      <c r="M6" s="36"/>
      <c r="N6" s="36"/>
      <c r="O6" s="36"/>
    </row>
    <row r="7" spans="1:16" ht="21" customHeight="1" x14ac:dyDescent="0.45">
      <c r="A7" s="36" t="s">
        <v>45</v>
      </c>
      <c r="C7" s="16" t="s">
        <v>41</v>
      </c>
      <c r="E7" s="36"/>
      <c r="F7" s="36" t="s">
        <v>39</v>
      </c>
      <c r="G7" s="36"/>
      <c r="H7" s="36"/>
      <c r="I7" s="36"/>
      <c r="J7" s="36"/>
      <c r="K7" s="36"/>
      <c r="L7" s="36"/>
      <c r="M7" s="36"/>
      <c r="N7" s="36"/>
      <c r="O7" s="36"/>
    </row>
    <row r="8" spans="1:16" ht="21" customHeight="1" x14ac:dyDescent="0.45">
      <c r="A8" s="36" t="s">
        <v>46</v>
      </c>
      <c r="E8" s="36"/>
      <c r="F8" s="36"/>
      <c r="G8" s="36"/>
      <c r="H8" s="36"/>
      <c r="I8" s="36"/>
      <c r="J8" s="36"/>
      <c r="K8" s="36"/>
      <c r="L8" s="36"/>
      <c r="M8" s="36"/>
      <c r="N8" s="36"/>
      <c r="O8" s="36"/>
    </row>
    <row r="9" spans="1:16" ht="6" customHeight="1" x14ac:dyDescent="0.45">
      <c r="A9" s="34"/>
      <c r="B9" s="34"/>
      <c r="C9" s="34"/>
      <c r="D9" s="34"/>
      <c r="E9" s="34"/>
      <c r="F9" s="34"/>
      <c r="G9" s="34"/>
      <c r="H9" s="34"/>
      <c r="I9" s="34"/>
      <c r="J9" s="34"/>
      <c r="K9" s="34"/>
      <c r="L9" s="34"/>
      <c r="M9" s="34"/>
      <c r="N9" s="34"/>
      <c r="O9" s="34"/>
    </row>
    <row r="10" spans="1:16" ht="34" x14ac:dyDescent="0.45">
      <c r="A10" s="23" t="s">
        <v>47</v>
      </c>
      <c r="B10" s="24" t="s">
        <v>48</v>
      </c>
      <c r="C10" s="118" t="s">
        <v>49</v>
      </c>
      <c r="D10" s="119"/>
      <c r="E10" s="24" t="s">
        <v>50</v>
      </c>
      <c r="F10" s="25" t="s">
        <v>51</v>
      </c>
      <c r="G10" s="24" t="s">
        <v>52</v>
      </c>
      <c r="H10" s="24" t="s">
        <v>53</v>
      </c>
      <c r="I10" s="24" t="s">
        <v>54</v>
      </c>
      <c r="J10" s="24" t="s">
        <v>55</v>
      </c>
      <c r="K10" s="24" t="s">
        <v>57</v>
      </c>
      <c r="L10" s="24" t="s">
        <v>58</v>
      </c>
      <c r="M10" s="24" t="s">
        <v>60</v>
      </c>
      <c r="N10" s="24" t="s">
        <v>61</v>
      </c>
      <c r="O10" s="24" t="s">
        <v>62</v>
      </c>
    </row>
    <row r="11" spans="1:16" ht="25.25" customHeight="1" x14ac:dyDescent="0.45">
      <c r="A11" s="26">
        <v>1</v>
      </c>
      <c r="B11" s="27" t="s">
        <v>63</v>
      </c>
      <c r="C11" s="28" t="str">
        <f>IFERROR(VLOOKUP($B11,자재리스트!$B$4:$M$92,2,FALSE),)</f>
        <v>Monitor</v>
      </c>
      <c r="D11" s="27"/>
      <c r="E11" s="27" t="str">
        <f>IFERROR(VLOOKUP($B11,자재리스트!$B$4:$M$92,4,FALSE),)</f>
        <v>27인치 모니터</v>
      </c>
      <c r="F11" s="27" t="str">
        <f>IFERROR(VLOOKUP($B11,자재리스트!$B$4:$M$92,5,FALSE),)</f>
        <v xml:space="preserve"> - </v>
      </c>
      <c r="G11" s="27">
        <f>IFERROR(VLOOKUP($B11,자재리스트!$B$5:$M$92,6,FALSE),)</f>
        <v>0</v>
      </c>
      <c r="H11" s="27" t="str">
        <f>IFERROR(VLOOKUP($B11,자재리스트!$B$4:$M$92,7,FALSE),)</f>
        <v>개</v>
      </c>
      <c r="I11" s="29">
        <v>1</v>
      </c>
      <c r="J11" s="29" t="str">
        <f>IFERROR(VLOOKUP($B11,자재리스트!$B$4:$M$92,8,FALSE),)</f>
        <v>KRW</v>
      </c>
      <c r="K11" s="29">
        <f>IFERROR(VLOOKUP($B11,자재리스트!$B$4:$M$92,9,FALSE),)</f>
        <v>3020000</v>
      </c>
      <c r="L11" s="29">
        <f>I11*K11</f>
        <v>3020000</v>
      </c>
      <c r="M11" s="27" t="str">
        <f>IFERROR(VLOOKUP($B11,자재리스트!$B$4:$M$92,10,FALSE),)</f>
        <v>MRC/테트라다인</v>
      </c>
      <c r="N11" s="27" t="str">
        <f>IFERROR(VLOOKUP($B11,자재리스트!$B$4:$M$92,11,FALSE),)</f>
        <v>거래명세서</v>
      </c>
      <c r="O11" s="27" t="str">
        <f>IFERROR(VLOOKUP($B11,자재리스트!$B$4:$M$92,12,FALSE),)</f>
        <v>RCU, RCU cable, RS485 cable, bracket 포함</v>
      </c>
      <c r="P11" s="30"/>
    </row>
    <row r="12" spans="1:16" ht="25.25" customHeight="1" x14ac:dyDescent="0.45">
      <c r="A12" s="26">
        <v>2</v>
      </c>
      <c r="B12" s="27" t="s">
        <v>64</v>
      </c>
      <c r="C12" s="28" t="str">
        <f>IFERROR(VLOOKUP($B12,자재리스트!$B$4:$M$92,2,FALSE),)</f>
        <v>Server</v>
      </c>
      <c r="D12" s="27"/>
      <c r="E12" s="27" t="str">
        <f>IFERROR(VLOOKUP($B12,자재리스트!$B$4:$M$92,4,FALSE),)</f>
        <v>메인 서버</v>
      </c>
      <c r="F12" s="27" t="str">
        <f>IFERROR(VLOOKUP($B12,자재리스트!$B$4:$M$92,5,FALSE),)</f>
        <v xml:space="preserve"> - </v>
      </c>
      <c r="G12" s="27" t="str">
        <f>IFERROR(VLOOKUP($B12,자재리스트!$B$5:$M$92,6,FALSE),)</f>
        <v>중국</v>
      </c>
      <c r="H12" s="27" t="str">
        <f>IFERROR(VLOOKUP($B12,자재리스트!$B$4:$M$92,7,FALSE),)</f>
        <v>개</v>
      </c>
      <c r="I12" s="29">
        <v>1</v>
      </c>
      <c r="J12" s="29" t="str">
        <f>IFERROR(VLOOKUP($B12,자재리스트!$B$4:$M$92,8,FALSE),)</f>
        <v>KRW</v>
      </c>
      <c r="K12" s="29">
        <f>IFERROR(VLOOKUP($B12,자재리스트!$B$4:$M$92,9,FALSE),)</f>
        <v>3320000</v>
      </c>
      <c r="L12" s="29">
        <f t="shared" ref="L12:L18" si="0">I12*K12</f>
        <v>3320000</v>
      </c>
      <c r="M12" s="27" t="str">
        <f>IFERROR(VLOOKUP($B12,자재리스트!$B$4:$M$92,10,FALSE),)</f>
        <v>테트라다인</v>
      </c>
      <c r="N12" s="27" t="str">
        <f>IFERROR(VLOOKUP($B12,자재리스트!$B$4:$M$92,11,FALSE),)</f>
        <v>거래명세서</v>
      </c>
      <c r="O12" s="27" t="str">
        <f>IFERROR(VLOOKUP($B12,자재리스트!$B$4:$M$92,12,FALSE),)</f>
        <v xml:space="preserve"> - </v>
      </c>
      <c r="P12" s="30"/>
    </row>
    <row r="13" spans="1:16" ht="25.25" customHeight="1" x14ac:dyDescent="0.45">
      <c r="A13" s="26">
        <v>3</v>
      </c>
      <c r="B13" s="27" t="s">
        <v>100</v>
      </c>
      <c r="C13" s="28" t="str">
        <f>IFERROR(VLOOKUP($B13,자재리스트!$B$4:$M$92,2,FALSE),)</f>
        <v>IP camera</v>
      </c>
      <c r="D13" s="27"/>
      <c r="E13" s="27" t="str">
        <f>IFERROR(VLOOKUP($B13,자재리스트!$B$4:$M$92,4,FALSE),)</f>
        <v>카메라</v>
      </c>
      <c r="F13" s="27" t="str">
        <f>IFERROR(VLOOKUP($B13,자재리스트!$B$4:$M$92,5,FALSE),)</f>
        <v xml:space="preserve"> - </v>
      </c>
      <c r="G13" s="27" t="str">
        <f>IFERROR(VLOOKUP($B13,자재리스트!$B$5:$M$92,6,FALSE),)</f>
        <v>한국</v>
      </c>
      <c r="H13" s="27" t="str">
        <f>IFERROR(VLOOKUP($B13,자재리스트!$B$4:$M$92,7,FALSE),)</f>
        <v>개</v>
      </c>
      <c r="I13" s="29">
        <v>6</v>
      </c>
      <c r="J13" s="29" t="str">
        <f>IFERROR(VLOOKUP($B13,자재리스트!$B$4:$M$92,8,FALSE),)</f>
        <v>KRW</v>
      </c>
      <c r="K13" s="29">
        <f>IFERROR(VLOOKUP($B13,자재리스트!$B$4:$M$92,9,FALSE),)</f>
        <v>1500000</v>
      </c>
      <c r="L13" s="29">
        <f t="shared" si="0"/>
        <v>9000000</v>
      </c>
      <c r="M13" s="27" t="str">
        <f>IFERROR(VLOOKUP($B13,자재리스트!$B$4:$M$92,10,FALSE),)</f>
        <v>아르게스마린</v>
      </c>
      <c r="N13" s="27" t="str">
        <f>IFERROR(VLOOKUP($B13,자재리스트!$B$4:$M$92,11,FALSE),)</f>
        <v>거래명세서</v>
      </c>
      <c r="O13" s="27" t="str">
        <f>IFERROR(VLOOKUP($B13,자재리스트!$B$4:$M$92,12,FALSE),)</f>
        <v xml:space="preserve"> - </v>
      </c>
    </row>
    <row r="14" spans="1:16" ht="25.25" customHeight="1" x14ac:dyDescent="0.45">
      <c r="A14" s="26">
        <v>5</v>
      </c>
      <c r="B14" s="37" t="s">
        <v>101</v>
      </c>
      <c r="C14" s="38" t="str">
        <f>IFERROR(VLOOKUP($B14,자재리스트!$B$4:$M$92,2,FALSE),)</f>
        <v>Network PoE Switch</v>
      </c>
      <c r="D14" s="37"/>
      <c r="E14" s="37" t="str">
        <f>IFERROR(VLOOKUP($B14,자재리스트!$B$4:$M$92,4,FALSE),)</f>
        <v>IP 카메라에 전원 공급</v>
      </c>
      <c r="F14" s="37" t="str">
        <f>IFERROR(VLOOKUP($B14,자재리스트!$B$4:$M$92,5,FALSE),)</f>
        <v xml:space="preserve"> - </v>
      </c>
      <c r="G14" s="37" t="str">
        <f>IFERROR(VLOOKUP($B14,자재리스트!$B$5:$M$92,6,FALSE),)</f>
        <v>한국</v>
      </c>
      <c r="H14" s="37" t="str">
        <f>IFERROR(VLOOKUP($B14,자재리스트!$B$4:$M$92,7,FALSE),)</f>
        <v>개</v>
      </c>
      <c r="I14" s="39">
        <v>1</v>
      </c>
      <c r="J14" s="39" t="str">
        <f>IFERROR(VLOOKUP($B14,자재리스트!$B$4:$M$92,8,FALSE),)</f>
        <v>KRW</v>
      </c>
      <c r="K14" s="39">
        <f>IFERROR(VLOOKUP($B14,자재리스트!$B$4:$M$92,9,FALSE),)</f>
        <v>2213000</v>
      </c>
      <c r="L14" s="39">
        <f t="shared" si="0"/>
        <v>2213000</v>
      </c>
      <c r="M14" s="37" t="str">
        <f>IFERROR(VLOOKUP($B14,자재리스트!$B$4:$M$92,10,FALSE),)</f>
        <v>여의시스템</v>
      </c>
      <c r="N14" s="37" t="str">
        <f>IFERROR(VLOOKUP($B14,자재리스트!$B$4:$M$92,11,FALSE),)</f>
        <v>거래명세서</v>
      </c>
      <c r="O14" s="37" t="str">
        <f>IFERROR(VLOOKUP($B14,자재리스트!$B$4:$M$92,12,FALSE),)</f>
        <v xml:space="preserve"> - </v>
      </c>
    </row>
    <row r="15" spans="1:16" ht="25.25" customHeight="1" x14ac:dyDescent="0.45">
      <c r="A15" s="26">
        <v>6</v>
      </c>
      <c r="B15" s="27" t="s">
        <v>74</v>
      </c>
      <c r="C15" s="28" t="str">
        <f>IFERROR(VLOOKUP($B15,자재리스트!$B$4:$M$92,2,FALSE),)</f>
        <v>Network switch</v>
      </c>
      <c r="D15" s="27"/>
      <c r="E15" s="27" t="str">
        <f>IFERROR(VLOOKUP($B15,자재리스트!$B$4:$M$92,4,FALSE),)</f>
        <v>허브 (선급인증품)</v>
      </c>
      <c r="F15" s="27" t="str">
        <f>IFERROR(VLOOKUP($B15,자재리스트!$B$4:$M$92,5,FALSE),)</f>
        <v xml:space="preserve"> - </v>
      </c>
      <c r="G15" s="27" t="str">
        <f>IFERROR(VLOOKUP($B15,자재리스트!$B$5:$M$92,6,FALSE),)</f>
        <v>한국</v>
      </c>
      <c r="H15" s="27" t="str">
        <f>IFERROR(VLOOKUP($B15,자재리스트!$B$4:$M$92,7,FALSE),)</f>
        <v>개</v>
      </c>
      <c r="I15" s="29">
        <v>1</v>
      </c>
      <c r="J15" s="29" t="str">
        <f>IFERROR(VLOOKUP($B15,자재리스트!$B$4:$M$92,8,FALSE),)</f>
        <v>KRW</v>
      </c>
      <c r="K15" s="29">
        <f>IFERROR(VLOOKUP($B15,자재리스트!$B$4:$M$92,9,FALSE),)</f>
        <v>1596000</v>
      </c>
      <c r="L15" s="29">
        <f t="shared" si="0"/>
        <v>1596000</v>
      </c>
      <c r="M15" s="27" t="str">
        <f>IFERROR(VLOOKUP($B15,자재리스트!$B$4:$M$92,10,FALSE),)</f>
        <v>여의시스템</v>
      </c>
      <c r="N15" s="27" t="str">
        <f>IFERROR(VLOOKUP($B15,자재리스트!$B$4:$M$92,11,FALSE),)</f>
        <v>거래명세서</v>
      </c>
      <c r="O15" s="27" t="str">
        <f>IFERROR(VLOOKUP($B15,자재리스트!$B$4:$M$92,12,FALSE),)</f>
        <v xml:space="preserve"> - </v>
      </c>
    </row>
    <row r="16" spans="1:16" ht="25.25" customHeight="1" x14ac:dyDescent="0.45">
      <c r="A16" s="26">
        <v>7</v>
      </c>
      <c r="B16" s="40" t="s">
        <v>102</v>
      </c>
      <c r="C16" s="28" t="str">
        <f>IFERROR(VLOOKUP($B16,자재리스트!$B$4:$M$92,2,FALSE),)</f>
        <v>Junction Box</v>
      </c>
      <c r="D16" s="27"/>
      <c r="E16" s="27" t="str">
        <f>IFERROR(VLOOKUP($B16,자재리스트!$B$4:$M$92,4,FALSE),)</f>
        <v>PoE Extender 용</v>
      </c>
      <c r="F16" s="27" t="str">
        <f>IFERROR(VLOOKUP($B16,자재리스트!$B$4:$M$92,5,FALSE),)</f>
        <v xml:space="preserve"> - </v>
      </c>
      <c r="G16" s="27" t="str">
        <f>IFERROR(VLOOKUP($B16,자재리스트!$B$5:$M$92,6,FALSE),)</f>
        <v>한국</v>
      </c>
      <c r="H16" s="27" t="str">
        <f>IFERROR(VLOOKUP($B16,자재리스트!$B$4:$M$92,7,FALSE),)</f>
        <v>개</v>
      </c>
      <c r="I16" s="29">
        <v>1</v>
      </c>
      <c r="J16" s="29" t="str">
        <f>IFERROR(VLOOKUP($B16,자재리스트!$B$4:$M$92,8,FALSE),)</f>
        <v>KRW</v>
      </c>
      <c r="K16" s="29">
        <f>IFERROR(VLOOKUP($B16,자재리스트!$B$4:$M$92,9,FALSE),)</f>
        <v>505000</v>
      </c>
      <c r="L16" s="29">
        <f>I16*K16</f>
        <v>505000</v>
      </c>
      <c r="M16" s="27" t="str">
        <f>IFERROR(VLOOKUP($B16,자재리스트!$B$4:$M$92,10,FALSE),)</f>
        <v>MRC</v>
      </c>
      <c r="N16" s="27" t="str">
        <f>IFERROR(VLOOKUP($B16,자재리스트!$B$4:$M$92,11,FALSE),)</f>
        <v>거래명세서</v>
      </c>
      <c r="O16" s="27" t="str">
        <f>IFERROR(VLOOKUP($B16,자재리스트!$B$4:$M$92,12,FALSE),)</f>
        <v>명판 포함</v>
      </c>
    </row>
    <row r="17" spans="1:15" ht="25.25" customHeight="1" x14ac:dyDescent="0.45">
      <c r="A17" s="26">
        <v>8</v>
      </c>
      <c r="B17" s="41" t="s">
        <v>103</v>
      </c>
      <c r="C17" s="42" t="str">
        <f>IFERROR(VLOOKUP($B17,자재리스트!$B$4:$M$92,2,FALSE),)</f>
        <v>PoE-Extender</v>
      </c>
      <c r="D17" s="27"/>
      <c r="E17" s="27" t="str">
        <f>IFERROR(VLOOKUP($B17,자재리스트!$B$4:$M$92,4,FALSE),)</f>
        <v>LAN 통신 거리 연장</v>
      </c>
      <c r="F17" s="27" t="str">
        <f>IFERROR(VLOOKUP($B17,자재리스트!$B$4:$M$92,5,FALSE),)</f>
        <v xml:space="preserve"> - </v>
      </c>
      <c r="G17" s="27" t="str">
        <f>IFERROR(VLOOKUP($B17,자재리스트!$B$5:$M$92,6,FALSE),)</f>
        <v>한국</v>
      </c>
      <c r="H17" s="27" t="str">
        <f>IFERROR(VLOOKUP($B17,자재리스트!$B$4:$M$92,7,FALSE),)</f>
        <v>개</v>
      </c>
      <c r="I17" s="29">
        <v>1</v>
      </c>
      <c r="J17" s="29" t="str">
        <f>IFERROR(VLOOKUP($B17,자재리스트!$B$4:$M$92,8,FALSE),)</f>
        <v>KRW</v>
      </c>
      <c r="K17" s="29">
        <f>IFERROR(VLOOKUP($B17,자재리스트!$B$4:$M$92,9,FALSE),)</f>
        <v>310000</v>
      </c>
      <c r="L17" s="29">
        <f t="shared" si="0"/>
        <v>310000</v>
      </c>
      <c r="M17" s="27" t="str">
        <f>IFERROR(VLOOKUP($B17,자재리스트!$B$4:$M$92,10,FALSE),)</f>
        <v>아르게스마린</v>
      </c>
      <c r="N17" s="27" t="str">
        <f>IFERROR(VLOOKUP($B17,자재리스트!$B$4:$M$92,11,FALSE),)</f>
        <v>거래명세서</v>
      </c>
      <c r="O17" s="27" t="str">
        <f>IFERROR(VLOOKUP($B17,자재리스트!$B$4:$M$92,12,FALSE),)</f>
        <v xml:space="preserve"> - </v>
      </c>
    </row>
    <row r="18" spans="1:15" ht="25.25" customHeight="1" x14ac:dyDescent="0.45">
      <c r="A18" s="26">
        <v>9</v>
      </c>
      <c r="B18" s="41" t="s">
        <v>104</v>
      </c>
      <c r="C18" s="42" t="str">
        <f>IFERROR(VLOOKUP($B18,자재리스트!$B$4:$M$92,2,FALSE),)</f>
        <v>UNO2-PS-1AC-48DC-240W</v>
      </c>
      <c r="D18" s="27"/>
      <c r="E18" s="27" t="str">
        <f>IFERROR(VLOOKUP($B18,자재리스트!$B$4:$M$92,4,FALSE),)</f>
        <v>PoE HUB용 240W 파워 서플라이</v>
      </c>
      <c r="F18" s="27" t="str">
        <f>IFERROR(VLOOKUP($B18,자재리스트!$B$4:$M$92,5,FALSE),)</f>
        <v xml:space="preserve"> - </v>
      </c>
      <c r="G18" s="27" t="str">
        <f>IFERROR(VLOOKUP($B18,자재리스트!$B$5:$M$92,6,FALSE),)</f>
        <v>한국</v>
      </c>
      <c r="H18" s="27" t="str">
        <f>IFERROR(VLOOKUP($B18,자재리스트!$B$4:$M$92,7,FALSE),)</f>
        <v>개</v>
      </c>
      <c r="I18" s="29">
        <v>2</v>
      </c>
      <c r="J18" s="29" t="str">
        <f>IFERROR(VLOOKUP($B18,자재리스트!$B$4:$M$92,8,FALSE),)</f>
        <v>KRW</v>
      </c>
      <c r="K18" s="29">
        <f>IFERROR(VLOOKUP($B18,자재리스트!$B$4:$M$92,9,FALSE),)</f>
        <v>145000</v>
      </c>
      <c r="L18" s="29">
        <f t="shared" si="0"/>
        <v>290000</v>
      </c>
      <c r="M18" s="27" t="str">
        <f>IFERROR(VLOOKUP($B18,자재리스트!$B$4:$M$92,10,FALSE),)</f>
        <v>세종전자</v>
      </c>
      <c r="N18" s="27" t="str">
        <f>IFERROR(VLOOKUP($B18,자재리스트!$B$4:$M$92,11,FALSE),)</f>
        <v>거래명세서</v>
      </c>
      <c r="O18" s="27" t="str">
        <f>IFERROR(VLOOKUP($B18,자재리스트!$B$4:$M$92,12,FALSE),)</f>
        <v xml:space="preserve"> - </v>
      </c>
    </row>
    <row r="19" spans="1:15" ht="25.25" customHeight="1" x14ac:dyDescent="0.45">
      <c r="A19" s="26">
        <v>10</v>
      </c>
      <c r="B19" s="37" t="s">
        <v>105</v>
      </c>
      <c r="C19" s="42" t="str">
        <f>IFERROR(VLOOKUP($B19,자재리스트!$B$4:$M$92,2,FALSE),)</f>
        <v>Junction Box</v>
      </c>
      <c r="D19" s="27"/>
      <c r="E19" s="27" t="str">
        <f>IFERROR(VLOOKUP($B19,자재리스트!$B$4:$M$92,4,FALSE),)</f>
        <v>LRP Injector용</v>
      </c>
      <c r="F19" s="27" t="str">
        <f>IFERROR(VLOOKUP($B19,자재리스트!$B$4:$M$92,5,FALSE),)</f>
        <v xml:space="preserve"> - </v>
      </c>
      <c r="G19" s="27" t="str">
        <f>IFERROR(VLOOKUP($B19,자재리스트!$B$5:$M$92,6,FALSE),)</f>
        <v>한국</v>
      </c>
      <c r="H19" s="27" t="str">
        <f>IFERROR(VLOOKUP($B19,자재리스트!$B$4:$M$92,7,FALSE),)</f>
        <v>개</v>
      </c>
      <c r="I19" s="29">
        <v>5</v>
      </c>
      <c r="J19" s="29" t="str">
        <f>IFERROR(VLOOKUP($B19,자재리스트!$B$4:$M$92,8,FALSE),)</f>
        <v>KRW</v>
      </c>
      <c r="K19" s="29">
        <f>IFERROR(VLOOKUP($B19,자재리스트!$B$4:$M$92,9,FALSE),)</f>
        <v>505000</v>
      </c>
      <c r="L19" s="29">
        <f>I19*K19</f>
        <v>2525000</v>
      </c>
      <c r="M19" s="27" t="str">
        <f>IFERROR(VLOOKUP($B19,자재리스트!$B$4:$M$92,10,FALSE),)</f>
        <v>MRC</v>
      </c>
      <c r="N19" s="27" t="str">
        <f>IFERROR(VLOOKUP($B19,자재리스트!$B$4:$M$92,11,FALSE),)</f>
        <v>거래명세서</v>
      </c>
      <c r="O19" s="27" t="str">
        <f>IFERROR(VLOOKUP($B19,자재리스트!$B$4:$M$92,12,FALSE),)</f>
        <v>명판 포함</v>
      </c>
    </row>
    <row r="20" spans="1:15" ht="25.25" customHeight="1" x14ac:dyDescent="0.45">
      <c r="A20" s="26">
        <v>11</v>
      </c>
      <c r="B20" s="37" t="s">
        <v>106</v>
      </c>
      <c r="C20" s="42" t="str">
        <f>IFERROR(VLOOKUP($B20,자재리스트!$B$4:$M$92,2,FALSE),)</f>
        <v>Junction Box</v>
      </c>
      <c r="D20" s="27"/>
      <c r="E20" s="27" t="str">
        <f>IFERROR(VLOOKUP($B20,자재리스트!$B$4:$M$92,4,FALSE),)</f>
        <v>LRP Extender용</v>
      </c>
      <c r="F20" s="27" t="str">
        <f>IFERROR(VLOOKUP($B20,자재리스트!$B$4:$M$92,5,FALSE),)</f>
        <v xml:space="preserve"> - </v>
      </c>
      <c r="G20" s="27" t="str">
        <f>IFERROR(VLOOKUP($B20,자재리스트!$B$5:$M$92,6,FALSE),)</f>
        <v>한국</v>
      </c>
      <c r="H20" s="27" t="str">
        <f>IFERROR(VLOOKUP($B20,자재리스트!$B$4:$M$92,7,FALSE),)</f>
        <v>개</v>
      </c>
      <c r="I20" s="29">
        <v>5</v>
      </c>
      <c r="J20" s="29" t="str">
        <f>IFERROR(VLOOKUP($B20,자재리스트!$B$4:$M$92,8,FALSE),)</f>
        <v>KRW</v>
      </c>
      <c r="K20" s="29">
        <f>IFERROR(VLOOKUP($B20,자재리스트!$B$4:$M$92,9,FALSE),)</f>
        <v>505000</v>
      </c>
      <c r="L20" s="29">
        <f>I20*K20</f>
        <v>2525000</v>
      </c>
      <c r="M20" s="27" t="str">
        <f>IFERROR(VLOOKUP($B20,자재리스트!$B$4:$M$92,10,FALSE),)</f>
        <v>MRC</v>
      </c>
      <c r="N20" s="27" t="str">
        <f>IFERROR(VLOOKUP($B20,자재리스트!$B$4:$M$92,11,FALSE),)</f>
        <v>거래명세서</v>
      </c>
      <c r="O20" s="27" t="str">
        <f>IFERROR(VLOOKUP($B20,자재리스트!$B$4:$M$92,12,FALSE),)</f>
        <v>명판 포함</v>
      </c>
    </row>
    <row r="21" spans="1:15" ht="25.25" customHeight="1" x14ac:dyDescent="0.45">
      <c r="A21" s="26">
        <v>12</v>
      </c>
      <c r="B21" s="41" t="s">
        <v>107</v>
      </c>
      <c r="C21" s="42" t="str">
        <f>IFERROR(VLOOKUP($B21,자재리스트!$B$4:$M$92,2,FALSE),)</f>
        <v>LRP</v>
      </c>
      <c r="D21" s="27"/>
      <c r="E21" s="27" t="str">
        <f>IFERROR(VLOOKUP($B21,자재리스트!$B$4:$M$92,4,FALSE),)</f>
        <v>LAN 통신 거리 연장 및 전원공급</v>
      </c>
      <c r="F21" s="27" t="str">
        <f>IFERROR(VLOOKUP($B21,자재리스트!$B$4:$M$92,5,FALSE),)</f>
        <v xml:space="preserve"> - </v>
      </c>
      <c r="G21" s="27" t="str">
        <f>IFERROR(VLOOKUP($B21,자재리스트!$B$5:$M$92,6,FALSE),)</f>
        <v>한국</v>
      </c>
      <c r="H21" s="27" t="str">
        <f>IFERROR(VLOOKUP($B21,자재리스트!$B$4:$M$92,7,FALSE),)</f>
        <v>세트</v>
      </c>
      <c r="I21" s="29">
        <v>5</v>
      </c>
      <c r="J21" s="29" t="str">
        <f>IFERROR(VLOOKUP($B21,자재리스트!$B$4:$M$92,8,FALSE),)</f>
        <v>KRW</v>
      </c>
      <c r="K21" s="29">
        <f>IFERROR(VLOOKUP($B21,자재리스트!$B$4:$M$92,9,FALSE),)</f>
        <v>292000</v>
      </c>
      <c r="L21" s="29">
        <f>I21*K21</f>
        <v>1460000</v>
      </c>
      <c r="M21" s="27" t="str">
        <f>IFERROR(VLOOKUP($B21,자재리스트!$B$4:$M$92,10,FALSE),)</f>
        <v>제씨테크</v>
      </c>
      <c r="N21" s="27" t="str">
        <f>IFERROR(VLOOKUP($B21,자재리스트!$B$4:$M$92,11,FALSE),)</f>
        <v>거래명세서</v>
      </c>
      <c r="O21" s="27" t="str">
        <f>IFERROR(VLOOKUP($B21,자재리스트!$B$4:$M$92,12,FALSE),)</f>
        <v>w. SMPS</v>
      </c>
    </row>
    <row r="22" spans="1:15" ht="25.25" customHeight="1" x14ac:dyDescent="0.45">
      <c r="A22" s="26">
        <v>13</v>
      </c>
      <c r="B22" s="43" t="s">
        <v>108</v>
      </c>
      <c r="C22" s="44" t="str">
        <f>IFERROR(VLOOKUP($B22,자재리스트!$B$4:$M$92,2,FALSE),)</f>
        <v>UNO-PS-1AC-48DC-60W</v>
      </c>
      <c r="D22" s="40"/>
      <c r="E22" s="40" t="str">
        <f>IFERROR(VLOOKUP($B22,자재리스트!$B$4:$M$92,4,FALSE),)</f>
        <v>LRP용 60W 파워 서플라이</v>
      </c>
      <c r="F22" s="40" t="str">
        <f>IFERROR(VLOOKUP($B22,자재리스트!$B$4:$M$92,5,FALSE),)</f>
        <v xml:space="preserve"> - </v>
      </c>
      <c r="G22" s="40" t="str">
        <f>IFERROR(VLOOKUP($B22,자재리스트!$B$5:$M$92,6,FALSE),)</f>
        <v>한국</v>
      </c>
      <c r="H22" s="40" t="str">
        <f>IFERROR(VLOOKUP($B22,자재리스트!$B$4:$M$92,7,FALSE),)</f>
        <v>개</v>
      </c>
      <c r="I22" s="45">
        <v>6</v>
      </c>
      <c r="J22" s="45" t="str">
        <f>IFERROR(VLOOKUP($B22,자재리스트!$B$4:$M$92,8,FALSE),)</f>
        <v>KRW</v>
      </c>
      <c r="K22" s="45">
        <f>IFERROR(VLOOKUP($B22,자재리스트!$B$4:$M$92,9,FALSE),)</f>
        <v>110000</v>
      </c>
      <c r="L22" s="45">
        <f>I22*K22</f>
        <v>660000</v>
      </c>
      <c r="M22" s="40" t="str">
        <f>IFERROR(VLOOKUP($B22,자재리스트!$B$4:$M$92,10,FALSE),)</f>
        <v>세종전자</v>
      </c>
      <c r="N22" s="40" t="str">
        <f>IFERROR(VLOOKUP($B22,자재리스트!$B$4:$M$92,11,FALSE),)</f>
        <v>거래명세서</v>
      </c>
      <c r="O22" s="40" t="str">
        <f>IFERROR(VLOOKUP($B22,자재리스트!$B$4:$M$92,12,FALSE),)</f>
        <v xml:space="preserve"> - </v>
      </c>
    </row>
    <row r="23" spans="1:15" ht="25.25" customHeight="1" x14ac:dyDescent="0.45">
      <c r="A23" s="26">
        <v>14</v>
      </c>
      <c r="B23" s="41" t="s">
        <v>109</v>
      </c>
      <c r="C23" s="44" t="str">
        <f>IFERROR(VLOOKUP($B23,자재리스트!$B$4:$M$92,2,FALSE),)</f>
        <v>24V SMPS</v>
      </c>
      <c r="D23" s="40"/>
      <c r="E23" s="40" t="str">
        <f>IFERROR(VLOOKUP($B23,자재리스트!$B$4:$M$92,4,FALSE),)</f>
        <v>Network Switch, Serial to Ethernet용</v>
      </c>
      <c r="F23" s="40">
        <f>IFERROR(VLOOKUP($B23,자재리스트!$B$4:$M$92,5,FALSE),)</f>
        <v>0</v>
      </c>
      <c r="G23" s="40" t="str">
        <f>IFERROR(VLOOKUP($B23,자재리스트!$B$5:$M$92,6,FALSE),)</f>
        <v>한국</v>
      </c>
      <c r="H23" s="40" t="str">
        <f>IFERROR(VLOOKUP($B23,자재리스트!$B$4:$M$92,7,FALSE),)</f>
        <v>개</v>
      </c>
      <c r="I23" s="45">
        <v>1</v>
      </c>
      <c r="J23" s="45" t="str">
        <f>IFERROR(VLOOKUP($B23,자재리스트!$B$4:$M$92,8,FALSE),)</f>
        <v>KRW</v>
      </c>
      <c r="K23" s="45">
        <f>IFERROR(VLOOKUP($B23,자재리스트!$B$4:$M$92,9,FALSE),)</f>
        <v>25000</v>
      </c>
      <c r="L23" s="45">
        <f t="shared" ref="L23:L26" si="1">I23*K23</f>
        <v>25000</v>
      </c>
      <c r="M23" s="40" t="str">
        <f>IFERROR(VLOOKUP($B23,자재리스트!$B$4:$M$92,10,FALSE),)</f>
        <v>쿠팡</v>
      </c>
      <c r="N23" s="40" t="str">
        <f>IFERROR(VLOOKUP($B23,자재리스트!$B$4:$M$92,11,FALSE),)</f>
        <v>거래명세서</v>
      </c>
      <c r="O23" s="40" t="str">
        <f>IFERROR(VLOOKUP($B23,자재리스트!$B$4:$M$92,12,FALSE),)</f>
        <v xml:space="preserve"> - </v>
      </c>
    </row>
    <row r="24" spans="1:15" ht="25.25" customHeight="1" x14ac:dyDescent="0.45">
      <c r="A24" s="26">
        <v>15</v>
      </c>
      <c r="B24" s="37" t="s">
        <v>75</v>
      </c>
      <c r="C24" s="44" t="str">
        <f>IFERROR(VLOOKUP($B24,자재리스트!$B$4:$M$92,2,FALSE),)</f>
        <v>UPS</v>
      </c>
      <c r="D24" s="40"/>
      <c r="E24" s="40" t="str">
        <f>IFERROR(VLOOKUP($B24,자재리스트!$B$4:$M$92,4,FALSE),)</f>
        <v>1kVA, 무정전 전원 공급, Stand type</v>
      </c>
      <c r="F24" s="40" t="str">
        <f>IFERROR(VLOOKUP($B24,자재리스트!$B$4:$M$92,5,FALSE),)</f>
        <v xml:space="preserve"> - </v>
      </c>
      <c r="G24" s="40" t="str">
        <f>IFERROR(VLOOKUP($B24,자재리스트!$B$5:$M$92,6,FALSE),)</f>
        <v>한국</v>
      </c>
      <c r="H24" s="40" t="str">
        <f>IFERROR(VLOOKUP($B24,자재리스트!$B$4:$M$92,7,FALSE),)</f>
        <v>개</v>
      </c>
      <c r="I24" s="45">
        <v>1</v>
      </c>
      <c r="J24" s="45" t="str">
        <f>IFERROR(VLOOKUP($B24,자재리스트!$B$4:$M$92,8,FALSE),)</f>
        <v>KRW</v>
      </c>
      <c r="K24" s="45">
        <f>IFERROR(VLOOKUP($B24,자재리스트!$B$4:$M$92,9,FALSE),)</f>
        <v>1325500</v>
      </c>
      <c r="L24" s="45">
        <f t="shared" si="1"/>
        <v>1325500</v>
      </c>
      <c r="M24" s="40" t="str">
        <f>IFERROR(VLOOKUP($B24,자재리스트!$B$4:$M$92,10,FALSE),)</f>
        <v>기호티이에스</v>
      </c>
      <c r="N24" s="40" t="str">
        <f>IFERROR(VLOOKUP($B24,자재리스트!$B$4:$M$92,11,FALSE),)</f>
        <v>거래명세서</v>
      </c>
      <c r="O24" s="40" t="str">
        <f>IFERROR(VLOOKUP($B24,자재리스트!$B$4:$M$92,12,FALSE),)</f>
        <v>마린필터, network card, 케이블 포함</v>
      </c>
    </row>
    <row r="25" spans="1:15" ht="25.25" customHeight="1" x14ac:dyDescent="0.45">
      <c r="A25" s="26">
        <v>16</v>
      </c>
      <c r="B25" s="37" t="s">
        <v>76</v>
      </c>
      <c r="C25" s="44" t="str">
        <f>IFERROR(VLOOKUP($B25,자재리스트!$B$4:$M$92,2,FALSE),)</f>
        <v>멀티탭</v>
      </c>
      <c r="D25" s="40"/>
      <c r="E25" s="40" t="str">
        <f>IFERROR(VLOOKUP($B25,자재리스트!$B$4:$M$92,4,FALSE),)</f>
        <v>UPS용</v>
      </c>
      <c r="F25" s="40" t="str">
        <f>IFERROR(VLOOKUP($B25,자재리스트!$B$4:$M$92,5,FALSE),)</f>
        <v xml:space="preserve"> - </v>
      </c>
      <c r="G25" s="40" t="str">
        <f>IFERROR(VLOOKUP($B25,자재리스트!$B$5:$M$92,6,FALSE),)</f>
        <v>한국</v>
      </c>
      <c r="H25" s="40" t="str">
        <f>IFERROR(VLOOKUP($B25,자재리스트!$B$4:$M$92,7,FALSE),)</f>
        <v>개</v>
      </c>
      <c r="I25" s="45">
        <v>2</v>
      </c>
      <c r="J25" s="45" t="str">
        <f>IFERROR(VLOOKUP($B25,자재리스트!$B$4:$M$92,8,FALSE),)</f>
        <v>KRW</v>
      </c>
      <c r="K25" s="45">
        <f>IFERROR(VLOOKUP($B25,자재리스트!$B$4:$M$92,9,FALSE),)</f>
        <v>10800</v>
      </c>
      <c r="L25" s="45">
        <f t="shared" si="1"/>
        <v>21600</v>
      </c>
      <c r="M25" s="40" t="str">
        <f>IFERROR(VLOOKUP($B25,자재리스트!$B$4:$M$92,10,FALSE),)</f>
        <v>쿠팡</v>
      </c>
      <c r="N25" s="40" t="str">
        <f>IFERROR(VLOOKUP($B25,자재리스트!$B$4:$M$92,11,FALSE),)</f>
        <v>거래명세서</v>
      </c>
      <c r="O25" s="40" t="str">
        <f>IFERROR(VLOOKUP($B25,자재리스트!$B$4:$M$92,12,FALSE),)</f>
        <v xml:space="preserve"> - </v>
      </c>
    </row>
    <row r="26" spans="1:15" ht="25.25" customHeight="1" x14ac:dyDescent="0.45">
      <c r="A26" s="26">
        <v>17</v>
      </c>
      <c r="B26" s="37" t="s">
        <v>77</v>
      </c>
      <c r="C26" s="44" t="str">
        <f>IFERROR(VLOOKUP($B26,자재리스트!$B$4:$M$92,2,FALSE),)</f>
        <v>C13-C14(MALE)</v>
      </c>
      <c r="D26" s="40"/>
      <c r="E26" s="40" t="str">
        <f>IFERROR(VLOOKUP($B26,자재리스트!$B$4:$M$92,4,FALSE),)</f>
        <v>UPS용</v>
      </c>
      <c r="F26" s="40" t="str">
        <f>IFERROR(VLOOKUP($B26,자재리스트!$B$4:$M$92,5,FALSE),)</f>
        <v xml:space="preserve"> - </v>
      </c>
      <c r="G26" s="40" t="str">
        <f>IFERROR(VLOOKUP($B26,자재리스트!$B$5:$M$92,6,FALSE),)</f>
        <v>한국</v>
      </c>
      <c r="H26" s="40" t="str">
        <f>IFERROR(VLOOKUP($B26,자재리스트!$B$4:$M$92,7,FALSE),)</f>
        <v>개</v>
      </c>
      <c r="I26" s="45">
        <v>3</v>
      </c>
      <c r="J26" s="45" t="str">
        <f>IFERROR(VLOOKUP($B26,자재리스트!$B$4:$M$92,8,FALSE),)</f>
        <v>KRW</v>
      </c>
      <c r="K26" s="45">
        <f>IFERROR(VLOOKUP($B26,자재리스트!$B$4:$M$92,9,FALSE),)</f>
        <v>9900</v>
      </c>
      <c r="L26" s="45">
        <f t="shared" si="1"/>
        <v>29700</v>
      </c>
      <c r="M26" s="40" t="str">
        <f>IFERROR(VLOOKUP($B26,자재리스트!$B$4:$M$92,10,FALSE),)</f>
        <v>한주전자</v>
      </c>
      <c r="N26" s="40" t="str">
        <f>IFERROR(VLOOKUP($B26,자재리스트!$B$4:$M$92,11,FALSE),)</f>
        <v>거래명세서</v>
      </c>
      <c r="O26" s="40" t="str">
        <f>IFERROR(VLOOKUP($B26,자재리스트!$B$4:$M$92,12,FALSE),)</f>
        <v xml:space="preserve"> - </v>
      </c>
    </row>
    <row r="27" spans="1:15" ht="24.75" customHeight="1" x14ac:dyDescent="0.45">
      <c r="A27" s="17"/>
      <c r="B27" s="31"/>
      <c r="C27" s="32"/>
      <c r="D27" s="31"/>
      <c r="E27" s="31"/>
      <c r="F27" s="31"/>
      <c r="G27" s="31"/>
      <c r="H27" s="31"/>
      <c r="I27" s="33"/>
      <c r="J27" s="33"/>
      <c r="K27" s="33"/>
      <c r="L27" s="33"/>
      <c r="M27" s="31"/>
      <c r="N27" s="31"/>
      <c r="O27" s="31"/>
    </row>
    <row r="28" spans="1:15" ht="17.5" x14ac:dyDescent="0.45">
      <c r="A28" s="34"/>
      <c r="B28" s="34"/>
      <c r="C28" s="122" t="s">
        <v>78</v>
      </c>
      <c r="D28" s="122"/>
      <c r="E28" s="122"/>
      <c r="F28" s="122"/>
      <c r="G28" s="122"/>
      <c r="H28" s="122"/>
      <c r="I28" s="122"/>
      <c r="J28" s="122"/>
      <c r="K28" s="122"/>
      <c r="L28" s="122"/>
      <c r="M28" s="122"/>
      <c r="N28" s="122"/>
      <c r="O28" s="122"/>
    </row>
    <row r="29" spans="1:15" ht="17.5" x14ac:dyDescent="0.45">
      <c r="A29" s="34"/>
      <c r="B29" s="34"/>
      <c r="C29" s="122" t="s">
        <v>79</v>
      </c>
      <c r="D29" s="122"/>
      <c r="E29" s="122"/>
      <c r="F29" s="122"/>
      <c r="G29" s="122"/>
      <c r="H29" s="122"/>
      <c r="I29" s="122"/>
      <c r="J29" s="122"/>
      <c r="K29" s="122"/>
      <c r="L29" s="122"/>
      <c r="M29" s="122"/>
      <c r="N29" s="122"/>
      <c r="O29" s="122"/>
    </row>
    <row r="30" spans="1:15" x14ac:dyDescent="0.45">
      <c r="A30" s="34"/>
      <c r="B30" s="34"/>
      <c r="C30" s="34"/>
      <c r="D30" s="34"/>
      <c r="E30" s="34"/>
      <c r="F30" s="34"/>
      <c r="G30" s="34"/>
      <c r="H30" s="34"/>
      <c r="I30" s="34"/>
      <c r="J30" s="34"/>
      <c r="K30" s="34"/>
      <c r="L30" s="34"/>
      <c r="M30" s="34"/>
      <c r="N30" s="34"/>
      <c r="O30" s="34"/>
    </row>
  </sheetData>
  <mergeCells count="4">
    <mergeCell ref="A2:O2"/>
    <mergeCell ref="C10:D10"/>
    <mergeCell ref="C28:O28"/>
    <mergeCell ref="C29:O29"/>
  </mergeCells>
  <phoneticPr fontId="3" type="noConversion"/>
  <printOptions horizontalCentered="1"/>
  <pageMargins left="0.70866141732283472" right="0.70866141732283472" top="0.74803149606299213" bottom="0.74803149606299213" header="0.31496062992125984" footer="0.31496062992125984"/>
  <pageSetup paperSize="9" scale="70" fitToHeight="0" orientation="landscape" r:id="rId1"/>
  <headerFooter>
    <oddFooter>&amp;L_x000D_&amp;1#&amp;"Calibri"&amp;9&amp;K000000 Confidential | AVIKUS – Unauthorized distribution is strictly prohibited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ACC88-9191-4F9D-9146-409B072F8F02}">
  <sheetPr>
    <tabColor rgb="FFFF0000"/>
    <pageSetUpPr fitToPage="1"/>
  </sheetPr>
  <dimension ref="A1:P40"/>
  <sheetViews>
    <sheetView showGridLines="0" view="pageBreakPreview" topLeftCell="A8" zoomScale="70" zoomScaleNormal="100" zoomScaleSheetLayoutView="70" workbookViewId="0">
      <selection activeCell="J20" sqref="J20"/>
    </sheetView>
  </sheetViews>
  <sheetFormatPr defaultColWidth="10" defaultRowHeight="17" x14ac:dyDescent="0.45"/>
  <cols>
    <col min="1" max="1" width="6.4140625" style="16" customWidth="1"/>
    <col min="2" max="2" width="13.5" style="16" customWidth="1"/>
    <col min="3" max="3" width="2.08203125" style="16" customWidth="1"/>
    <col min="4" max="5" width="20" style="16" customWidth="1"/>
    <col min="6" max="9" width="10" style="16"/>
    <col min="10" max="10" width="7" style="16" bestFit="1" customWidth="1"/>
    <col min="11" max="12" width="10" style="16"/>
    <col min="13" max="13" width="16.1640625" style="16" customWidth="1"/>
    <col min="14" max="14" width="14.5" style="16" customWidth="1"/>
    <col min="15" max="15" width="13" style="16" customWidth="1"/>
    <col min="16" max="16384" width="10" style="16"/>
  </cols>
  <sheetData>
    <row r="1" spans="1:16" x14ac:dyDescent="0.45">
      <c r="A1" s="34"/>
      <c r="B1" s="34"/>
      <c r="C1" s="34"/>
      <c r="D1" s="34"/>
      <c r="E1" s="34"/>
      <c r="F1" s="34"/>
      <c r="G1" s="34"/>
      <c r="H1" s="34"/>
      <c r="I1" s="34"/>
      <c r="J1" s="34"/>
      <c r="K1" s="34"/>
      <c r="L1" s="34"/>
      <c r="M1" s="34"/>
      <c r="N1" s="34"/>
      <c r="O1" s="34"/>
    </row>
    <row r="2" spans="1:16" ht="30" x14ac:dyDescent="0.75">
      <c r="A2" s="121" t="s">
        <v>38</v>
      </c>
      <c r="B2" s="121"/>
      <c r="C2" s="121"/>
      <c r="D2" s="121"/>
      <c r="E2" s="121"/>
      <c r="F2" s="121"/>
      <c r="G2" s="121"/>
      <c r="H2" s="121"/>
      <c r="I2" s="121"/>
      <c r="J2" s="121"/>
      <c r="K2" s="121"/>
      <c r="L2" s="121"/>
      <c r="M2" s="121"/>
      <c r="N2" s="121"/>
      <c r="O2" s="121"/>
    </row>
    <row r="3" spans="1:16" x14ac:dyDescent="0.45">
      <c r="A3" s="34"/>
      <c r="B3" s="34"/>
      <c r="C3" s="34" t="s">
        <v>39</v>
      </c>
      <c r="D3" s="34"/>
      <c r="E3" s="34"/>
      <c r="F3" s="34"/>
      <c r="G3" s="34"/>
      <c r="H3" s="34"/>
      <c r="I3" s="34"/>
      <c r="J3" s="34"/>
      <c r="K3" s="34"/>
      <c r="L3" s="34"/>
      <c r="M3" s="34"/>
      <c r="N3" s="34"/>
      <c r="O3" s="34"/>
    </row>
    <row r="4" spans="1:16" ht="21" customHeight="1" x14ac:dyDescent="0.45">
      <c r="A4" s="35" t="s">
        <v>40</v>
      </c>
      <c r="B4" s="19"/>
      <c r="C4" s="19" t="s">
        <v>41</v>
      </c>
      <c r="D4" s="20" t="s">
        <v>110</v>
      </c>
      <c r="E4" s="36"/>
      <c r="F4" s="36"/>
      <c r="G4" s="36"/>
      <c r="H4" s="36"/>
      <c r="I4" s="36"/>
      <c r="J4" s="36"/>
      <c r="K4" s="36"/>
      <c r="L4" s="36"/>
      <c r="M4" s="36"/>
      <c r="N4" s="36"/>
      <c r="O4" s="36"/>
    </row>
    <row r="5" spans="1:16" ht="21" customHeight="1" x14ac:dyDescent="0.45">
      <c r="A5" s="36" t="s">
        <v>43</v>
      </c>
      <c r="C5" s="16" t="s">
        <v>41</v>
      </c>
      <c r="D5" s="16" t="s">
        <v>111</v>
      </c>
      <c r="E5" s="36"/>
      <c r="F5" s="36"/>
      <c r="G5" s="36"/>
      <c r="H5" s="36"/>
      <c r="I5" s="36"/>
      <c r="J5" s="36"/>
      <c r="K5" s="36"/>
      <c r="L5" s="36"/>
      <c r="M5" s="36"/>
      <c r="N5" s="36"/>
      <c r="O5" s="36"/>
    </row>
    <row r="6" spans="1:16" ht="21" customHeight="1" x14ac:dyDescent="0.45">
      <c r="A6" s="36" t="s">
        <v>44</v>
      </c>
      <c r="C6" s="16" t="s">
        <v>41</v>
      </c>
      <c r="E6" s="36"/>
      <c r="F6" s="36"/>
      <c r="G6" s="36"/>
      <c r="H6" s="36"/>
      <c r="I6" s="36"/>
      <c r="J6" s="36"/>
      <c r="K6" s="36"/>
      <c r="L6" s="36"/>
      <c r="M6" s="36"/>
      <c r="N6" s="36"/>
      <c r="O6" s="36"/>
    </row>
    <row r="7" spans="1:16" ht="21" customHeight="1" x14ac:dyDescent="0.45">
      <c r="A7" s="36" t="s">
        <v>45</v>
      </c>
      <c r="C7" s="16" t="s">
        <v>41</v>
      </c>
      <c r="E7" s="36"/>
      <c r="F7" s="36" t="s">
        <v>39</v>
      </c>
      <c r="G7" s="36"/>
      <c r="H7" s="36"/>
      <c r="I7" s="36"/>
      <c r="J7" s="36"/>
      <c r="K7" s="36"/>
      <c r="L7" s="36"/>
      <c r="M7" s="36"/>
      <c r="N7" s="36"/>
      <c r="O7" s="36"/>
    </row>
    <row r="8" spans="1:16" ht="21" customHeight="1" x14ac:dyDescent="0.45">
      <c r="A8" s="36" t="s">
        <v>46</v>
      </c>
      <c r="E8" s="36"/>
      <c r="F8" s="36"/>
      <c r="G8" s="36"/>
      <c r="H8" s="36"/>
      <c r="I8" s="36"/>
      <c r="J8" s="36"/>
      <c r="K8" s="36"/>
      <c r="L8" s="36"/>
      <c r="M8" s="36"/>
      <c r="N8" s="36"/>
      <c r="O8" s="36"/>
    </row>
    <row r="9" spans="1:16" ht="6" customHeight="1" x14ac:dyDescent="0.45">
      <c r="A9" s="34"/>
      <c r="B9" s="34"/>
      <c r="C9" s="34"/>
      <c r="D9" s="34"/>
      <c r="E9" s="34"/>
      <c r="F9" s="34"/>
      <c r="G9" s="34"/>
      <c r="H9" s="34"/>
      <c r="I9" s="34"/>
      <c r="J9" s="34"/>
      <c r="K9" s="34"/>
      <c r="L9" s="34"/>
      <c r="M9" s="34"/>
      <c r="N9" s="34"/>
      <c r="O9" s="34"/>
    </row>
    <row r="10" spans="1:16" ht="34" x14ac:dyDescent="0.45">
      <c r="A10" s="23" t="s">
        <v>47</v>
      </c>
      <c r="B10" s="24" t="s">
        <v>48</v>
      </c>
      <c r="C10" s="118" t="s">
        <v>49</v>
      </c>
      <c r="D10" s="119"/>
      <c r="E10" s="24" t="s">
        <v>50</v>
      </c>
      <c r="F10" s="25" t="s">
        <v>51</v>
      </c>
      <c r="G10" s="24" t="s">
        <v>52</v>
      </c>
      <c r="H10" s="24" t="s">
        <v>53</v>
      </c>
      <c r="I10" s="24" t="s">
        <v>54</v>
      </c>
      <c r="J10" s="24" t="s">
        <v>55</v>
      </c>
      <c r="K10" s="24" t="s">
        <v>57</v>
      </c>
      <c r="L10" s="24" t="s">
        <v>58</v>
      </c>
      <c r="M10" s="24" t="s">
        <v>60</v>
      </c>
      <c r="N10" s="24" t="s">
        <v>61</v>
      </c>
      <c r="O10" s="24" t="s">
        <v>62</v>
      </c>
    </row>
    <row r="11" spans="1:16" ht="25.25" customHeight="1" x14ac:dyDescent="0.45">
      <c r="A11" s="26">
        <v>1</v>
      </c>
      <c r="B11" s="27" t="s">
        <v>63</v>
      </c>
      <c r="C11" s="28" t="str">
        <f>IFERROR(VLOOKUP($B11,자재리스트!$B$4:$M$92,2,FALSE),)</f>
        <v>Monitor</v>
      </c>
      <c r="D11" s="27"/>
      <c r="E11" s="27" t="str">
        <f>IFERROR(VLOOKUP($B11,자재리스트!$B$4:$M$92,4,FALSE),)</f>
        <v>27인치 모니터</v>
      </c>
      <c r="F11" s="27" t="str">
        <f>IFERROR(VLOOKUP($B11,자재리스트!$B$4:$M$92,5,FALSE),)</f>
        <v xml:space="preserve"> - </v>
      </c>
      <c r="G11" s="27">
        <f>IFERROR(VLOOKUP($B11,자재리스트!$B$5:$M$92,6,FALSE),)</f>
        <v>0</v>
      </c>
      <c r="H11" s="27" t="str">
        <f>IFERROR(VLOOKUP($B11,자재리스트!$B$4:$M$92,7,FALSE),)</f>
        <v>개</v>
      </c>
      <c r="I11" s="29">
        <v>2</v>
      </c>
      <c r="J11" s="29" t="str">
        <f>IFERROR(VLOOKUP($B11,자재리스트!$B$4:$M$92,8,FALSE),)</f>
        <v>KRW</v>
      </c>
      <c r="K11" s="29">
        <f>IFERROR(VLOOKUP($B11,자재리스트!$B$4:$M$92,9,FALSE),)</f>
        <v>3020000</v>
      </c>
      <c r="L11" s="29">
        <f>I11*K11</f>
        <v>6040000</v>
      </c>
      <c r="M11" s="27" t="str">
        <f>IFERROR(VLOOKUP($B11,자재리스트!$B$4:$M$92,10,FALSE),)</f>
        <v>MRC/테트라다인</v>
      </c>
      <c r="N11" s="27" t="str">
        <f>IFERROR(VLOOKUP($B11,자재리스트!$B$4:$M$92,11,FALSE),)</f>
        <v>거래명세서</v>
      </c>
      <c r="O11" s="27" t="str">
        <f>IFERROR(VLOOKUP($B11,자재리스트!$B$4:$M$92,12,FALSE),)</f>
        <v>RCU, RCU cable, RS485 cable, bracket 포함</v>
      </c>
      <c r="P11" s="30"/>
    </row>
    <row r="12" spans="1:16" ht="25.25" customHeight="1" x14ac:dyDescent="0.45">
      <c r="A12" s="26">
        <v>2</v>
      </c>
      <c r="B12" s="27" t="s">
        <v>64</v>
      </c>
      <c r="C12" s="28" t="str">
        <f>IFERROR(VLOOKUP($B12,자재리스트!$B$4:$M$92,2,FALSE),)</f>
        <v>Server</v>
      </c>
      <c r="D12" s="27"/>
      <c r="E12" s="27" t="str">
        <f>IFERROR(VLOOKUP($B12,자재리스트!$B$4:$M$92,4,FALSE),)</f>
        <v>메인 서버</v>
      </c>
      <c r="F12" s="27" t="str">
        <f>IFERROR(VLOOKUP($B12,자재리스트!$B$4:$M$92,5,FALSE),)</f>
        <v xml:space="preserve"> - </v>
      </c>
      <c r="G12" s="27" t="str">
        <f>IFERROR(VLOOKUP($B12,자재리스트!$B$5:$M$92,6,FALSE),)</f>
        <v>중국</v>
      </c>
      <c r="H12" s="27" t="str">
        <f>IFERROR(VLOOKUP($B12,자재리스트!$B$4:$M$92,7,FALSE),)</f>
        <v>개</v>
      </c>
      <c r="I12" s="29">
        <v>3</v>
      </c>
      <c r="J12" s="29" t="str">
        <f>IFERROR(VLOOKUP($B12,자재리스트!$B$4:$M$92,8,FALSE),)</f>
        <v>KRW</v>
      </c>
      <c r="K12" s="29">
        <f>IFERROR(VLOOKUP($B12,자재리스트!$B$4:$M$92,9,FALSE),)</f>
        <v>3320000</v>
      </c>
      <c r="L12" s="29">
        <f t="shared" ref="L12:L28" si="0">I12*K12</f>
        <v>9960000</v>
      </c>
      <c r="M12" s="27" t="str">
        <f>IFERROR(VLOOKUP($B12,자재리스트!$B$4:$M$92,10,FALSE),)</f>
        <v>테트라다인</v>
      </c>
      <c r="N12" s="27" t="str">
        <f>IFERROR(VLOOKUP($B12,자재리스트!$B$4:$M$92,11,FALSE),)</f>
        <v>거래명세서</v>
      </c>
      <c r="O12" s="27" t="str">
        <f>IFERROR(VLOOKUP($B12,자재리스트!$B$4:$M$92,12,FALSE),)</f>
        <v xml:space="preserve"> - </v>
      </c>
      <c r="P12" s="30"/>
    </row>
    <row r="13" spans="1:16" ht="25.25" customHeight="1" x14ac:dyDescent="0.45">
      <c r="A13" s="26">
        <v>3</v>
      </c>
      <c r="B13" s="27" t="s">
        <v>100</v>
      </c>
      <c r="C13" s="28" t="str">
        <f>IFERROR(VLOOKUP($B13,자재리스트!$B$4:$M$92,2,FALSE),)</f>
        <v>IP camera</v>
      </c>
      <c r="D13" s="27"/>
      <c r="E13" s="27" t="str">
        <f>IFERROR(VLOOKUP($B13,자재리스트!$B$4:$M$92,4,FALSE),)</f>
        <v>카메라</v>
      </c>
      <c r="F13" s="27" t="str">
        <f>IFERROR(VLOOKUP($B13,자재리스트!$B$4:$M$92,5,FALSE),)</f>
        <v xml:space="preserve"> - </v>
      </c>
      <c r="G13" s="27" t="str">
        <f>IFERROR(VLOOKUP($B13,자재리스트!$B$5:$M$92,6,FALSE),)</f>
        <v>한국</v>
      </c>
      <c r="H13" s="27" t="str">
        <f>IFERROR(VLOOKUP($B13,자재리스트!$B$4:$M$92,7,FALSE),)</f>
        <v>개</v>
      </c>
      <c r="I13" s="29">
        <v>6</v>
      </c>
      <c r="J13" s="29" t="str">
        <f>IFERROR(VLOOKUP($B13,자재리스트!$B$4:$M$92,8,FALSE),)</f>
        <v>KRW</v>
      </c>
      <c r="K13" s="29">
        <f>IFERROR(VLOOKUP($B13,자재리스트!$B$4:$M$92,9,FALSE),)</f>
        <v>1500000</v>
      </c>
      <c r="L13" s="29">
        <f t="shared" si="0"/>
        <v>9000000</v>
      </c>
      <c r="M13" s="27" t="str">
        <f>IFERROR(VLOOKUP($B13,자재리스트!$B$4:$M$92,10,FALSE),)</f>
        <v>아르게스마린</v>
      </c>
      <c r="N13" s="27" t="str">
        <f>IFERROR(VLOOKUP($B13,자재리스트!$B$4:$M$92,11,FALSE),)</f>
        <v>거래명세서</v>
      </c>
      <c r="O13" s="27" t="str">
        <f>IFERROR(VLOOKUP($B13,자재리스트!$B$4:$M$92,12,FALSE),)</f>
        <v xml:space="preserve"> - </v>
      </c>
    </row>
    <row r="14" spans="1:16" ht="25.25" customHeight="1" x14ac:dyDescent="0.45">
      <c r="A14" s="26">
        <v>5</v>
      </c>
      <c r="B14" s="27" t="s">
        <v>74</v>
      </c>
      <c r="C14" s="28" t="str">
        <f>IFERROR(VLOOKUP($B14,자재리스트!$B$4:$M$92,2,FALSE),)</f>
        <v>Network switch</v>
      </c>
      <c r="D14" s="27"/>
      <c r="E14" s="27" t="str">
        <f>IFERROR(VLOOKUP($B14,자재리스트!$B$4:$M$92,4,FALSE),)</f>
        <v>허브 (선급인증품)</v>
      </c>
      <c r="F14" s="27" t="str">
        <f>IFERROR(VLOOKUP($B14,자재리스트!$B$4:$M$92,5,FALSE),)</f>
        <v xml:space="preserve"> - </v>
      </c>
      <c r="G14" s="27" t="str">
        <f>IFERROR(VLOOKUP($B14,자재리스트!$B$5:$M$92,6,FALSE),)</f>
        <v>한국</v>
      </c>
      <c r="H14" s="27" t="str">
        <f>IFERROR(VLOOKUP($B14,자재리스트!$B$4:$M$92,7,FALSE),)</f>
        <v>개</v>
      </c>
      <c r="I14" s="29">
        <v>3</v>
      </c>
      <c r="J14" s="29" t="str">
        <f>IFERROR(VLOOKUP($B14,자재리스트!$B$4:$M$92,8,FALSE),)</f>
        <v>KRW</v>
      </c>
      <c r="K14" s="29">
        <f>IFERROR(VLOOKUP($B14,자재리스트!$B$4:$M$92,9,FALSE),)</f>
        <v>1596000</v>
      </c>
      <c r="L14" s="29">
        <f t="shared" si="0"/>
        <v>4788000</v>
      </c>
      <c r="M14" s="27" t="str">
        <f>IFERROR(VLOOKUP($B14,자재리스트!$B$4:$M$92,10,FALSE),)</f>
        <v>여의시스템</v>
      </c>
      <c r="N14" s="27" t="str">
        <f>IFERROR(VLOOKUP($B14,자재리스트!$B$4:$M$92,11,FALSE),)</f>
        <v>거래명세서</v>
      </c>
      <c r="O14" s="27" t="str">
        <f>IFERROR(VLOOKUP($B14,자재리스트!$B$4:$M$92,12,FALSE),)</f>
        <v xml:space="preserve"> - </v>
      </c>
    </row>
    <row r="15" spans="1:16" ht="25.25" customHeight="1" x14ac:dyDescent="0.45">
      <c r="A15" s="26">
        <v>6</v>
      </c>
      <c r="B15" s="41" t="s">
        <v>112</v>
      </c>
      <c r="C15" s="28" t="str">
        <f>IFERROR(VLOOKUP($B15,자재리스트!$B$4:$M$92,2,FALSE),)</f>
        <v>PoE HUB</v>
      </c>
      <c r="D15" s="27"/>
      <c r="E15" s="27" t="str">
        <f>IFERROR(VLOOKUP($B15,자재리스트!$B$4:$M$92,4,FALSE),)</f>
        <v>IP 카메라에 전원 공급</v>
      </c>
      <c r="F15" s="27" t="str">
        <f>IFERROR(VLOOKUP($B15,자재리스트!$B$4:$M$92,5,FALSE),)</f>
        <v xml:space="preserve"> - </v>
      </c>
      <c r="G15" s="27" t="str">
        <f>IFERROR(VLOOKUP($B15,자재리스트!$B$5:$M$92,6,FALSE),)</f>
        <v>한국</v>
      </c>
      <c r="H15" s="27" t="str">
        <f>IFERROR(VLOOKUP($B15,자재리스트!$B$4:$M$92,7,FALSE),)</f>
        <v>개</v>
      </c>
      <c r="I15" s="29">
        <v>2</v>
      </c>
      <c r="J15" s="29" t="str">
        <f>IFERROR(VLOOKUP($B15,자재리스트!$B$4:$M$92,8,FALSE),)</f>
        <v>KRW</v>
      </c>
      <c r="K15" s="29">
        <f>IFERROR(VLOOKUP($B15,자재리스트!$B$4:$M$92,9,FALSE),)</f>
        <v>392500</v>
      </c>
      <c r="L15" s="29">
        <f t="shared" si="0"/>
        <v>785000</v>
      </c>
      <c r="M15" s="27" t="str">
        <f>IFERROR(VLOOKUP($B15,자재리스트!$B$4:$M$92,10,FALSE),)</f>
        <v>제씨테크</v>
      </c>
      <c r="N15" s="27" t="str">
        <f>IFERROR(VLOOKUP($B15,자재리스트!$B$4:$M$92,11,FALSE),)</f>
        <v>거래명세서</v>
      </c>
      <c r="O15" s="27" t="str">
        <f>IFERROR(VLOOKUP($B15,자재리스트!$B$4:$M$92,12,FALSE),)</f>
        <v>w. SMPS</v>
      </c>
    </row>
    <row r="16" spans="1:16" ht="25.25" customHeight="1" x14ac:dyDescent="0.45">
      <c r="A16" s="26">
        <v>7</v>
      </c>
      <c r="B16" s="41" t="s">
        <v>107</v>
      </c>
      <c r="C16" s="28" t="str">
        <f>IFERROR(VLOOKUP($B16,자재리스트!$B$4:$M$92,2,FALSE),)</f>
        <v>LRP</v>
      </c>
      <c r="D16" s="27"/>
      <c r="E16" s="27" t="str">
        <f>IFERROR(VLOOKUP($B16,자재리스트!$B$4:$M$92,4,FALSE),)</f>
        <v>LAN 통신 거리 연장 및 전원공급</v>
      </c>
      <c r="F16" s="27" t="str">
        <f>IFERROR(VLOOKUP($B16,자재리스트!$B$4:$M$92,5,FALSE),)</f>
        <v xml:space="preserve"> - </v>
      </c>
      <c r="G16" s="27" t="str">
        <f>IFERROR(VLOOKUP($B16,자재리스트!$B$5:$M$92,6,FALSE),)</f>
        <v>한국</v>
      </c>
      <c r="H16" s="27" t="str">
        <f>IFERROR(VLOOKUP($B16,자재리스트!$B$4:$M$92,7,FALSE),)</f>
        <v>세트</v>
      </c>
      <c r="I16" s="29">
        <v>6</v>
      </c>
      <c r="J16" s="29" t="str">
        <f>IFERROR(VLOOKUP($B16,자재리스트!$B$4:$M$92,8,FALSE),)</f>
        <v>KRW</v>
      </c>
      <c r="K16" s="29">
        <f>IFERROR(VLOOKUP($B16,자재리스트!$B$4:$M$92,9,FALSE),)</f>
        <v>292000</v>
      </c>
      <c r="L16" s="29">
        <f t="shared" si="0"/>
        <v>1752000</v>
      </c>
      <c r="M16" s="27" t="str">
        <f>IFERROR(VLOOKUP($B16,자재리스트!$B$4:$M$92,10,FALSE),)</f>
        <v>제씨테크</v>
      </c>
      <c r="N16" s="27" t="str">
        <f>IFERROR(VLOOKUP($B16,자재리스트!$B$4:$M$92,11,FALSE),)</f>
        <v>거래명세서</v>
      </c>
      <c r="O16" s="27" t="str">
        <f>IFERROR(VLOOKUP($B16,자재리스트!$B$4:$M$92,12,FALSE),)</f>
        <v>w. SMPS</v>
      </c>
    </row>
    <row r="17" spans="1:15" ht="25.25" customHeight="1" x14ac:dyDescent="0.45">
      <c r="A17" s="26">
        <v>8</v>
      </c>
      <c r="B17" s="27" t="s">
        <v>113</v>
      </c>
      <c r="C17" s="28" t="str">
        <f>IFERROR(VLOOKUP($B17,자재리스트!$B$4:$M$92,2,FALSE),)</f>
        <v>Junction Box</v>
      </c>
      <c r="D17" s="27"/>
      <c r="E17" s="27" t="str">
        <f>IFERROR(VLOOKUP($B17,자재리스트!$B$4:$M$92,4,FALSE),)</f>
        <v>PoE Hub 용</v>
      </c>
      <c r="F17" s="27" t="str">
        <f>IFERROR(VLOOKUP($B17,자재리스트!$B$4:$M$92,5,FALSE),)</f>
        <v xml:space="preserve"> - </v>
      </c>
      <c r="G17" s="27" t="str">
        <f>IFERROR(VLOOKUP($B17,자재리스트!$B$5:$M$92,6,FALSE),)</f>
        <v>한국</v>
      </c>
      <c r="H17" s="27" t="str">
        <f>IFERROR(VLOOKUP($B17,자재리스트!$B$4:$M$92,7,FALSE),)</f>
        <v>개</v>
      </c>
      <c r="I17" s="29">
        <v>2</v>
      </c>
      <c r="J17" s="29" t="str">
        <f>IFERROR(VLOOKUP($B17,자재리스트!$B$4:$M$92,8,FALSE),)</f>
        <v>KRW</v>
      </c>
      <c r="K17" s="29">
        <f>IFERROR(VLOOKUP($B17,자재리스트!$B$4:$M$92,9,FALSE),)</f>
        <v>505000</v>
      </c>
      <c r="L17" s="29">
        <f t="shared" si="0"/>
        <v>1010000</v>
      </c>
      <c r="M17" s="27" t="str">
        <f>IFERROR(VLOOKUP($B17,자재리스트!$B$4:$M$92,10,FALSE),)</f>
        <v>MRC</v>
      </c>
      <c r="N17" s="27" t="str">
        <f>IFERROR(VLOOKUP($B17,자재리스트!$B$4:$M$92,11,FALSE),)</f>
        <v>거래명세서</v>
      </c>
      <c r="O17" s="27" t="str">
        <f>IFERROR(VLOOKUP($B17,자재리스트!$B$4:$M$92,12,FALSE),)</f>
        <v>명판 포함</v>
      </c>
    </row>
    <row r="18" spans="1:15" ht="25.25" customHeight="1" x14ac:dyDescent="0.45">
      <c r="A18" s="26">
        <v>9</v>
      </c>
      <c r="B18" s="27" t="s">
        <v>105</v>
      </c>
      <c r="C18" s="28" t="str">
        <f>IFERROR(VLOOKUP($B18,자재리스트!$B$4:$M$92,2,FALSE),)</f>
        <v>Junction Box</v>
      </c>
      <c r="D18" s="27"/>
      <c r="E18" s="27" t="str">
        <f>IFERROR(VLOOKUP($B18,자재리스트!$B$4:$M$92,4,FALSE),)</f>
        <v>LRP Injector용</v>
      </c>
      <c r="F18" s="27" t="str">
        <f>IFERROR(VLOOKUP($B18,자재리스트!$B$4:$M$92,5,FALSE),)</f>
        <v xml:space="preserve"> - </v>
      </c>
      <c r="G18" s="27" t="str">
        <f>IFERROR(VLOOKUP($B18,자재리스트!$B$5:$M$92,6,FALSE),)</f>
        <v>한국</v>
      </c>
      <c r="H18" s="27" t="str">
        <f>IFERROR(VLOOKUP($B18,자재리스트!$B$4:$M$92,7,FALSE),)</f>
        <v>개</v>
      </c>
      <c r="I18" s="29">
        <v>10</v>
      </c>
      <c r="J18" s="29" t="str">
        <f>IFERROR(VLOOKUP($B18,자재리스트!$B$4:$M$92,8,FALSE),)</f>
        <v>KRW</v>
      </c>
      <c r="K18" s="29">
        <f>IFERROR(VLOOKUP($B18,자재리스트!$B$4:$M$92,9,FALSE),)</f>
        <v>505000</v>
      </c>
      <c r="L18" s="29">
        <f t="shared" si="0"/>
        <v>5050000</v>
      </c>
      <c r="M18" s="27" t="str">
        <f>IFERROR(VLOOKUP($B18,자재리스트!$B$4:$M$92,10,FALSE),)</f>
        <v>MRC</v>
      </c>
      <c r="N18" s="27" t="str">
        <f>IFERROR(VLOOKUP($B18,자재리스트!$B$4:$M$92,11,FALSE),)</f>
        <v>거래명세서</v>
      </c>
      <c r="O18" s="27" t="str">
        <f>IFERROR(VLOOKUP($B18,자재리스트!$B$4:$M$92,12,FALSE),)</f>
        <v>명판 포함</v>
      </c>
    </row>
    <row r="19" spans="1:15" ht="25.25" customHeight="1" x14ac:dyDescent="0.45">
      <c r="A19" s="26">
        <v>10</v>
      </c>
      <c r="B19" s="27" t="s">
        <v>114</v>
      </c>
      <c r="C19" s="28" t="str">
        <f>IFERROR(VLOOKUP($B19,자재리스트!$B$4:$M$92,2,FALSE),)</f>
        <v>Junction Box</v>
      </c>
      <c r="D19" s="27"/>
      <c r="E19" s="27" t="str">
        <f>IFERROR(VLOOKUP($B19,자재리스트!$B$4:$M$92,4,FALSE),)</f>
        <v>방폭형, LRP Extender용</v>
      </c>
      <c r="F19" s="27" t="str">
        <f>IFERROR(VLOOKUP($B19,자재리스트!$B$4:$M$92,5,FALSE),)</f>
        <v xml:space="preserve"> - </v>
      </c>
      <c r="G19" s="27" t="str">
        <f>IFERROR(VLOOKUP($B19,자재리스트!$B$5:$M$92,6,FALSE),)</f>
        <v>한국</v>
      </c>
      <c r="H19" s="27" t="str">
        <f>IFERROR(VLOOKUP($B19,자재리스트!$B$4:$M$92,7,FALSE),)</f>
        <v>개</v>
      </c>
      <c r="I19" s="29">
        <v>2</v>
      </c>
      <c r="J19" s="29" t="str">
        <f>IFERROR(VLOOKUP($B19,자재리스트!$B$4:$M$92,8,FALSE),)</f>
        <v>KRW</v>
      </c>
      <c r="K19" s="29">
        <f>IFERROR(VLOOKUP($B19,자재리스트!$B$4:$M$92,9,FALSE),)</f>
        <v>1800000</v>
      </c>
      <c r="L19" s="29">
        <f t="shared" si="0"/>
        <v>3600000</v>
      </c>
      <c r="M19" s="27" t="str">
        <f>IFERROR(VLOOKUP($B19,자재리스트!$B$4:$M$92,10,FALSE),)</f>
        <v>MRC</v>
      </c>
      <c r="N19" s="27" t="str">
        <f>IFERROR(VLOOKUP($B19,자재리스트!$B$4:$M$92,11,FALSE),)</f>
        <v>거래명세서</v>
      </c>
      <c r="O19" s="27" t="str">
        <f>IFERROR(VLOOKUP($B19,자재리스트!$B$4:$M$92,12,FALSE),)</f>
        <v>-</v>
      </c>
    </row>
    <row r="20" spans="1:15" ht="25.25" customHeight="1" x14ac:dyDescent="0.45">
      <c r="A20" s="26">
        <v>12</v>
      </c>
      <c r="B20" s="27" t="s">
        <v>101</v>
      </c>
      <c r="C20" s="28" t="str">
        <f>IFERROR(VLOOKUP($B20,자재리스트!$B$4:$M$92,2,FALSE),)</f>
        <v>Network PoE Switch</v>
      </c>
      <c r="D20" s="27"/>
      <c r="E20" s="27" t="str">
        <f>IFERROR(VLOOKUP($B20,자재리스트!$B$4:$M$92,4,FALSE),)</f>
        <v>IP 카메라에 전원 공급</v>
      </c>
      <c r="F20" s="27" t="str">
        <f>IFERROR(VLOOKUP($B20,자재리스트!$B$4:$M$92,5,FALSE),)</f>
        <v xml:space="preserve"> - </v>
      </c>
      <c r="G20" s="27" t="str">
        <f>IFERROR(VLOOKUP($B20,자재리스트!$B$5:$M$92,6,FALSE),)</f>
        <v>한국</v>
      </c>
      <c r="H20" s="27" t="str">
        <f>IFERROR(VLOOKUP($B20,자재리스트!$B$4:$M$92,7,FALSE),)</f>
        <v>개</v>
      </c>
      <c r="I20" s="29">
        <v>1</v>
      </c>
      <c r="J20" s="29" t="str">
        <f>IFERROR(VLOOKUP($B20,자재리스트!$B$4:$M$92,8,FALSE),)</f>
        <v>KRW</v>
      </c>
      <c r="K20" s="29">
        <f>IFERROR(VLOOKUP($B20,자재리스트!$B$4:$M$92,9,FALSE),)</f>
        <v>2213000</v>
      </c>
      <c r="L20" s="29">
        <f t="shared" si="0"/>
        <v>2213000</v>
      </c>
      <c r="M20" s="27" t="str">
        <f>IFERROR(VLOOKUP($B20,자재리스트!$B$4:$M$92,10,FALSE),)</f>
        <v>여의시스템</v>
      </c>
      <c r="N20" s="27" t="str">
        <f>IFERROR(VLOOKUP($B20,자재리스트!$B$4:$M$92,11,FALSE),)</f>
        <v>거래명세서</v>
      </c>
      <c r="O20" s="27" t="str">
        <f>IFERROR(VLOOKUP($B20,자재리스트!$B$4:$M$92,12,FALSE),)</f>
        <v xml:space="preserve"> - </v>
      </c>
    </row>
    <row r="21" spans="1:15" ht="25.25" customHeight="1" x14ac:dyDescent="0.45">
      <c r="A21" s="26">
        <v>13</v>
      </c>
      <c r="B21" s="46" t="s">
        <v>90</v>
      </c>
      <c r="C21" s="28" t="str">
        <f>IFERROR(VLOOKUP($B21,자재리스트!$B$4:$M$92,2,FALSE),)</f>
        <v>Serial to Ethernet</v>
      </c>
      <c r="D21" s="27"/>
      <c r="E21" s="27" t="str">
        <f>IFERROR(VLOOKUP($B21,자재리스트!$B$4:$M$92,4,FALSE),)</f>
        <v>시리얼 통신을 LAN으로 변환</v>
      </c>
      <c r="F21" s="27" t="str">
        <f>IFERROR(VLOOKUP($B21,자재리스트!$B$4:$M$92,5,FALSE),)</f>
        <v xml:space="preserve"> - </v>
      </c>
      <c r="G21" s="27" t="str">
        <f>IFERROR(VLOOKUP($B21,자재리스트!$B$5:$M$92,6,FALSE),)</f>
        <v>한국</v>
      </c>
      <c r="H21" s="27" t="str">
        <f>IFERROR(VLOOKUP($B21,자재리스트!$B$4:$M$92,7,FALSE),)</f>
        <v>개</v>
      </c>
      <c r="I21" s="29">
        <v>1</v>
      </c>
      <c r="J21" s="29" t="str">
        <f>IFERROR(VLOOKUP($B21,자재리스트!$B$4:$M$92,8,FALSE),)</f>
        <v>KRW</v>
      </c>
      <c r="K21" s="29">
        <f>IFERROR(VLOOKUP($B21,자재리스트!$B$4:$M$92,9,FALSE),)</f>
        <v>780000</v>
      </c>
      <c r="L21" s="29">
        <f t="shared" si="0"/>
        <v>780000</v>
      </c>
      <c r="M21" s="27" t="str">
        <f>IFERROR(VLOOKUP($B21,자재리스트!$B$4:$M$92,10,FALSE),)</f>
        <v>여의시스템</v>
      </c>
      <c r="N21" s="27" t="str">
        <f>IFERROR(VLOOKUP($B21,자재리스트!$B$4:$M$92,11,FALSE),)</f>
        <v>거래명세서</v>
      </c>
      <c r="O21" s="27" t="str">
        <f>IFERROR(VLOOKUP($B21,자재리스트!$B$4:$M$92,12,FALSE),)</f>
        <v xml:space="preserve"> - </v>
      </c>
    </row>
    <row r="22" spans="1:15" ht="25.25" customHeight="1" x14ac:dyDescent="0.45">
      <c r="A22" s="26">
        <v>14</v>
      </c>
      <c r="B22" s="46" t="s">
        <v>115</v>
      </c>
      <c r="C22" s="28" t="str">
        <f>IFERROR(VLOOKUP($B22,자재리스트!$B$4:$M$92,2,FALSE),)</f>
        <v>keyboard &amp; mouse</v>
      </c>
      <c r="D22" s="27"/>
      <c r="E22" s="27" t="str">
        <f>IFERROR(VLOOKUP($B22,자재리스트!$B$4:$M$92,4,FALSE),)</f>
        <v>입력기기</v>
      </c>
      <c r="F22" s="27" t="str">
        <f>IFERROR(VLOOKUP($B22,자재리스트!$B$4:$M$92,5,FALSE),)</f>
        <v xml:space="preserve"> - </v>
      </c>
      <c r="G22" s="27" t="str">
        <f>IFERROR(VLOOKUP($B22,자재리스트!$B$5:$M$92,6,FALSE),)</f>
        <v>한국</v>
      </c>
      <c r="H22" s="27" t="str">
        <f>IFERROR(VLOOKUP($B22,자재리스트!$B$4:$M$92,7,FALSE),)</f>
        <v>세트</v>
      </c>
      <c r="I22" s="29">
        <v>2</v>
      </c>
      <c r="J22" s="29" t="str">
        <f>IFERROR(VLOOKUP($B22,자재리스트!$B$4:$M$92,8,FALSE),)</f>
        <v>KRW</v>
      </c>
      <c r="K22" s="29">
        <f>IFERROR(VLOOKUP($B22,자재리스트!$B$4:$M$92,9,FALSE),)</f>
        <v>50000</v>
      </c>
      <c r="L22" s="29">
        <f t="shared" si="0"/>
        <v>100000</v>
      </c>
      <c r="M22" s="27" t="str">
        <f>IFERROR(VLOOKUP($B22,자재리스트!$B$4:$M$92,10,FALSE),)</f>
        <v>MRC</v>
      </c>
      <c r="N22" s="27" t="str">
        <f>IFERROR(VLOOKUP($B22,자재리스트!$B$4:$M$92,11,FALSE),)</f>
        <v>거래명세서</v>
      </c>
      <c r="O22" s="27" t="str">
        <f>IFERROR(VLOOKUP($B22,자재리스트!$B$4:$M$92,12,FALSE),)</f>
        <v xml:space="preserve"> - </v>
      </c>
    </row>
    <row r="23" spans="1:15" ht="25.25" customHeight="1" x14ac:dyDescent="0.45">
      <c r="A23" s="26">
        <v>21</v>
      </c>
      <c r="B23" s="27" t="s">
        <v>66</v>
      </c>
      <c r="C23" s="28" t="str">
        <f>IFERROR(VLOOKUP($B23,자재리스트!$B$4:$M$92,2,FALSE),)</f>
        <v>NAS camera housing</v>
      </c>
      <c r="D23" s="27"/>
      <c r="E23" s="27" t="str">
        <f>IFERROR(VLOOKUP($B23,자재리스트!$B$4:$M$92,4,FALSE),)</f>
        <v>하우징</v>
      </c>
      <c r="F23" s="27" t="str">
        <f>IFERROR(VLOOKUP($B23,자재리스트!$B$4:$M$92,5,FALSE),)</f>
        <v xml:space="preserve"> - </v>
      </c>
      <c r="G23" s="27" t="str">
        <f>IFERROR(VLOOKUP($B23,자재리스트!$B$5:$M$92,6,FALSE),)</f>
        <v>한국</v>
      </c>
      <c r="H23" s="27" t="str">
        <f>IFERROR(VLOOKUP($B23,자재리스트!$B$4:$M$92,7,FALSE),)</f>
        <v>개</v>
      </c>
      <c r="I23" s="29">
        <v>1</v>
      </c>
      <c r="J23" s="29" t="str">
        <f>IFERROR(VLOOKUP($B23,자재리스트!$B$4:$M$92,8,FALSE),)</f>
        <v>KRW</v>
      </c>
      <c r="K23" s="29">
        <f>IFERROR(VLOOKUP($B23,자재리스트!$B$4:$M$92,9,FALSE),)</f>
        <v>4300000</v>
      </c>
      <c r="L23" s="29">
        <f>I23*K23</f>
        <v>4300000</v>
      </c>
      <c r="M23" s="27" t="str">
        <f>IFERROR(VLOOKUP($B23,자재리스트!$B$4:$M$92,10,FALSE),)</f>
        <v>MRC</v>
      </c>
      <c r="N23" s="27" t="str">
        <f>IFERROR(VLOOKUP($B23,자재리스트!$B$4:$M$92,11,FALSE),)</f>
        <v>거래명세서</v>
      </c>
      <c r="O23" s="27" t="str">
        <f>IFERROR(VLOOKUP($B23,자재리스트!$B$4:$M$92,12,FALSE),)</f>
        <v xml:space="preserve"> - </v>
      </c>
    </row>
    <row r="24" spans="1:15" ht="25.25" customHeight="1" x14ac:dyDescent="0.45">
      <c r="A24" s="26">
        <v>18</v>
      </c>
      <c r="B24" s="27" t="s">
        <v>67</v>
      </c>
      <c r="C24" s="28" t="str">
        <f>IFERROR(VLOOKUP($B24,자재리스트!$B$4:$M$92,2,FALSE),)</f>
        <v>EO Camera</v>
      </c>
      <c r="D24" s="27"/>
      <c r="E24" s="27" t="str">
        <f>IFERROR(VLOOKUP($B24,자재리스트!$B$4:$M$92,4,FALSE),)</f>
        <v>광학 카메라(4K)</v>
      </c>
      <c r="F24" s="27" t="str">
        <f>IFERROR(VLOOKUP($B24,자재리스트!$B$4:$M$92,5,FALSE),)</f>
        <v xml:space="preserve"> - </v>
      </c>
      <c r="G24" s="27" t="str">
        <f>IFERROR(VLOOKUP($B24,자재리스트!$B$5:$M$92,6,FALSE),)</f>
        <v>인도</v>
      </c>
      <c r="H24" s="27" t="str">
        <f>IFERROR(VLOOKUP($B24,자재리스트!$B$4:$M$92,7,FALSE),)</f>
        <v>개</v>
      </c>
      <c r="I24" s="29">
        <v>3</v>
      </c>
      <c r="J24" s="29" t="str">
        <f>IFERROR(VLOOKUP($B24,자재리스트!$B$4:$M$92,8,FALSE),)</f>
        <v>KRW</v>
      </c>
      <c r="K24" s="29">
        <f>IFERROR(VLOOKUP($B24,자재리스트!$B$4:$M$92,9,FALSE),)</f>
        <v>532576</v>
      </c>
      <c r="L24" s="29">
        <f t="shared" si="0"/>
        <v>1597728</v>
      </c>
      <c r="M24" s="27" t="str">
        <f>IFERROR(VLOOKUP($B24,자재리스트!$B$4:$M$92,10,FALSE),)</f>
        <v>사이더스/e-con</v>
      </c>
      <c r="N24" s="27" t="str">
        <f>IFERROR(VLOOKUP($B24,자재리스트!$B$4:$M$92,11,FALSE),)</f>
        <v>거래명세서</v>
      </c>
      <c r="O24" s="27" t="str">
        <f>IFERROR(VLOOKUP($B24,자재리스트!$B$4:$M$92,12,FALSE),)</f>
        <v>w. GMSL cable</v>
      </c>
    </row>
    <row r="25" spans="1:15" ht="25.25" customHeight="1" x14ac:dyDescent="0.45">
      <c r="A25" s="26">
        <v>19</v>
      </c>
      <c r="B25" s="27" t="s">
        <v>68</v>
      </c>
      <c r="C25" s="28" t="str">
        <f>IFERROR(VLOOKUP($B25,자재리스트!$B$4:$M$92,2,FALSE),)</f>
        <v>IR camera</v>
      </c>
      <c r="D25" s="27"/>
      <c r="E25" s="27" t="str">
        <f>IFERROR(VLOOKUP($B25,자재리스트!$B$4:$M$92,4,FALSE),)</f>
        <v>열화상 카메라</v>
      </c>
      <c r="F25" s="27" t="str">
        <f>IFERROR(VLOOKUP($B25,자재리스트!$B$4:$M$92,5,FALSE),)</f>
        <v xml:space="preserve"> - </v>
      </c>
      <c r="G25" s="27" t="str">
        <f>IFERROR(VLOOKUP($B25,자재리스트!$B$5:$M$92,6,FALSE),)</f>
        <v>미국</v>
      </c>
      <c r="H25" s="27" t="str">
        <f>IFERROR(VLOOKUP($B25,자재리스트!$B$4:$M$92,7,FALSE),)</f>
        <v>개</v>
      </c>
      <c r="I25" s="29">
        <v>3</v>
      </c>
      <c r="J25" s="29" t="str">
        <f>IFERROR(VLOOKUP($B25,자재리스트!$B$4:$M$92,8,FALSE),)</f>
        <v>KRW</v>
      </c>
      <c r="K25" s="29">
        <f>IFERROR(VLOOKUP($B25,자재리스트!$B$4:$M$92,9,FALSE),)</f>
        <v>2487523</v>
      </c>
      <c r="L25" s="29">
        <f t="shared" si="0"/>
        <v>7462569</v>
      </c>
      <c r="M25" s="27" t="str">
        <f>IFERROR(VLOOKUP($B25,자재리스트!$B$4:$M$92,10,FALSE),)</f>
        <v>IRKEN/FLIR</v>
      </c>
      <c r="N25" s="27" t="str">
        <f>IFERROR(VLOOKUP($B25,자재리스트!$B$4:$M$92,11,FALSE),)</f>
        <v>거래명세서</v>
      </c>
      <c r="O25" s="27" t="str">
        <f>IFERROR(VLOOKUP($B25,자재리스트!$B$4:$M$92,12,FALSE),)</f>
        <v>w. VPC KIT</v>
      </c>
    </row>
    <row r="26" spans="1:15" ht="25.25" customHeight="1" x14ac:dyDescent="0.45">
      <c r="A26" s="26">
        <v>20</v>
      </c>
      <c r="B26" s="27" t="s">
        <v>69</v>
      </c>
      <c r="C26" s="28" t="str">
        <f>IFERROR(VLOOKUP($B26,자재리스트!$B$4:$M$92,2,FALSE),)</f>
        <v>IR camera window</v>
      </c>
      <c r="D26" s="27"/>
      <c r="E26" s="27" t="str">
        <f>IFERROR(VLOOKUP($B26,자재리스트!$B$4:$M$92,4,FALSE),)</f>
        <v>열화상 카메라 윈도우</v>
      </c>
      <c r="F26" s="27" t="str">
        <f>IFERROR(VLOOKUP($B26,자재리스트!$B$4:$M$92,5,FALSE),)</f>
        <v xml:space="preserve"> - </v>
      </c>
      <c r="G26" s="27" t="str">
        <f>IFERROR(VLOOKUP($B26,자재리스트!$B$5:$M$92,6,FALSE),)</f>
        <v>중국</v>
      </c>
      <c r="H26" s="27" t="str">
        <f>IFERROR(VLOOKUP($B26,자재리스트!$B$4:$M$92,7,FALSE),)</f>
        <v>개</v>
      </c>
      <c r="I26" s="29">
        <v>3</v>
      </c>
      <c r="J26" s="29" t="str">
        <f>IFERROR(VLOOKUP($B26,자재리스트!$B$4:$M$92,8,FALSE),)</f>
        <v>KRW</v>
      </c>
      <c r="K26" s="29">
        <f>IFERROR(VLOOKUP($B26,자재리스트!$B$4:$M$92,9,FALSE),)</f>
        <v>220965</v>
      </c>
      <c r="L26" s="29">
        <f t="shared" si="0"/>
        <v>662895</v>
      </c>
      <c r="M26" s="27" t="str">
        <f>IFERROR(VLOOKUP($B26,자재리스트!$B$4:$M$92,10,FALSE),)</f>
        <v>센서캠</v>
      </c>
      <c r="N26" s="27" t="str">
        <f>IFERROR(VLOOKUP($B26,자재리스트!$B$4:$M$92,11,FALSE),)</f>
        <v>거래명세서</v>
      </c>
      <c r="O26" s="27" t="str">
        <f>IFERROR(VLOOKUP($B26,자재리스트!$B$4:$M$92,12,FALSE),)</f>
        <v>1세대 용 (직경 42mm)</v>
      </c>
    </row>
    <row r="27" spans="1:15" ht="25.25" customHeight="1" x14ac:dyDescent="0.45">
      <c r="A27" s="26">
        <v>22</v>
      </c>
      <c r="B27" s="27" t="s">
        <v>70</v>
      </c>
      <c r="C27" s="28" t="str">
        <f>IFERROR(VLOOKUP($B27,자재리스트!$B$4:$M$92,2,FALSE),)</f>
        <v>NAS junction box</v>
      </c>
      <c r="D27" s="27"/>
      <c r="E27" s="27" t="str">
        <f>IFERROR(VLOOKUP($B27,자재리스트!$B$4:$M$92,4,FALSE),)</f>
        <v>정션박스</v>
      </c>
      <c r="F27" s="27" t="str">
        <f>IFERROR(VLOOKUP($B27,자재리스트!$B$4:$M$92,5,FALSE),)</f>
        <v xml:space="preserve"> - </v>
      </c>
      <c r="G27" s="27" t="str">
        <f>IFERROR(VLOOKUP($B27,자재리스트!$B$5:$M$92,6,FALSE),)</f>
        <v>한국</v>
      </c>
      <c r="H27" s="27" t="str">
        <f>IFERROR(VLOOKUP($B27,자재리스트!$B$4:$M$92,7,FALSE),)</f>
        <v>개</v>
      </c>
      <c r="I27" s="29">
        <v>1</v>
      </c>
      <c r="J27" s="29" t="str">
        <f>IFERROR(VLOOKUP($B27,자재리스트!$B$4:$M$92,8,FALSE),)</f>
        <v>KRW</v>
      </c>
      <c r="K27" s="29">
        <f>IFERROR(VLOOKUP($B27,자재리스트!$B$4:$M$92,9,FALSE),)</f>
        <v>1000000</v>
      </c>
      <c r="L27" s="29">
        <f t="shared" si="0"/>
        <v>1000000</v>
      </c>
      <c r="M27" s="27" t="str">
        <f>IFERROR(VLOOKUP($B27,자재리스트!$B$4:$M$92,10,FALSE),)</f>
        <v>MRC</v>
      </c>
      <c r="N27" s="27" t="str">
        <f>IFERROR(VLOOKUP($B27,자재리스트!$B$4:$M$92,11,FALSE),)</f>
        <v>거래명세서</v>
      </c>
      <c r="O27" s="27" t="str">
        <f>IFERROR(VLOOKUP($B27,자재리스트!$B$4:$M$92,12,FALSE),)</f>
        <v xml:space="preserve"> - </v>
      </c>
    </row>
    <row r="28" spans="1:15" ht="25.25" customHeight="1" x14ac:dyDescent="0.45">
      <c r="A28" s="26">
        <v>23</v>
      </c>
      <c r="B28" s="27" t="s">
        <v>71</v>
      </c>
      <c r="C28" s="28" t="str">
        <f>IFERROR(VLOOKUP($B28,자재리스트!$B$4:$M$92,2,FALSE),)</f>
        <v>Single Board Computer</v>
      </c>
      <c r="D28" s="27"/>
      <c r="E28" s="27" t="str">
        <f>IFERROR(VLOOKUP($B28,자재리스트!$B$4:$M$92,4,FALSE),)</f>
        <v>카메라와 서버 연동</v>
      </c>
      <c r="F28" s="27" t="str">
        <f>IFERROR(VLOOKUP($B28,자재리스트!$B$4:$M$92,5,FALSE),)</f>
        <v xml:space="preserve"> - </v>
      </c>
      <c r="G28" s="27" t="str">
        <f>IFERROR(VLOOKUP($B28,자재리스트!$B$5:$M$92,6,FALSE),)</f>
        <v>인도</v>
      </c>
      <c r="H28" s="27" t="str">
        <f>IFERROR(VLOOKUP($B28,자재리스트!$B$4:$M$92,7,FALSE),)</f>
        <v>개</v>
      </c>
      <c r="I28" s="29">
        <v>2</v>
      </c>
      <c r="J28" s="29" t="str">
        <f>IFERROR(VLOOKUP($B28,자재리스트!$B$4:$M$92,8,FALSE),)</f>
        <v>KRW</v>
      </c>
      <c r="K28" s="29">
        <f>IFERROR(VLOOKUP($B28,자재리스트!$B$4:$M$92,9,FALSE),)</f>
        <v>4508312</v>
      </c>
      <c r="L28" s="29">
        <f t="shared" si="0"/>
        <v>9016624</v>
      </c>
      <c r="M28" s="27" t="str">
        <f>IFERROR(VLOOKUP($B28,자재리스트!$B$4:$M$92,10,FALSE),)</f>
        <v>사이더스/e-con</v>
      </c>
      <c r="N28" s="27" t="str">
        <f>IFERROR(VLOOKUP($B28,자재리스트!$B$4:$M$92,11,FALSE),)</f>
        <v>거래명세서</v>
      </c>
      <c r="O28" s="27" t="str">
        <f>IFERROR(VLOOKUP($B28,자재리스트!$B$4:$M$92,12,FALSE),)</f>
        <v xml:space="preserve"> - </v>
      </c>
    </row>
    <row r="29" spans="1:15" ht="25.25" customHeight="1" x14ac:dyDescent="0.45">
      <c r="A29" s="26">
        <v>27</v>
      </c>
      <c r="B29" s="27" t="s">
        <v>83</v>
      </c>
      <c r="C29" s="28" t="str">
        <f>IFERROR(VLOOKUP($B29,자재리스트!$B$4:$M$92,2,FALSE),)</f>
        <v>SMPS</v>
      </c>
      <c r="D29" s="27"/>
      <c r="E29" s="27" t="str">
        <f>IFERROR(VLOOKUP($B29,자재리스트!$B$4:$M$92,4,FALSE),)</f>
        <v>Single Board Computer  전원 공급</v>
      </c>
      <c r="F29" s="27" t="str">
        <f>IFERROR(VLOOKUP($B29,자재리스트!$B$4:$M$92,5,FALSE),)</f>
        <v xml:space="preserve"> - </v>
      </c>
      <c r="G29" s="27" t="str">
        <f>IFERROR(VLOOKUP($B29,자재리스트!$B$5:$M$92,6,FALSE),)</f>
        <v>한국</v>
      </c>
      <c r="H29" s="27" t="str">
        <f>IFERROR(VLOOKUP($B29,자재리스트!$B$4:$M$92,7,FALSE),)</f>
        <v>개</v>
      </c>
      <c r="I29" s="29">
        <v>6</v>
      </c>
      <c r="J29" s="29" t="str">
        <f>IFERROR(VLOOKUP($B29,자재리스트!$B$4:$M$92,8,FALSE),)</f>
        <v>KRW</v>
      </c>
      <c r="K29" s="29">
        <f>IFERROR(VLOOKUP($B29,자재리스트!$B$4:$M$92,9,FALSE),)</f>
        <v>150000</v>
      </c>
      <c r="L29" s="29">
        <f>I29*K29</f>
        <v>900000</v>
      </c>
      <c r="M29" s="27" t="str">
        <f>IFERROR(VLOOKUP($B29,자재리스트!$B$4:$M$92,10,FALSE),)</f>
        <v>파워캅</v>
      </c>
      <c r="N29" s="27" t="str">
        <f>IFERROR(VLOOKUP($B29,자재리스트!$B$4:$M$92,11,FALSE),)</f>
        <v>거래명세서</v>
      </c>
      <c r="O29" s="27" t="str">
        <f>IFERROR(VLOOKUP($B29,자재리스트!$B$4:$M$92,12,FALSE),)</f>
        <v xml:space="preserve"> - </v>
      </c>
    </row>
    <row r="30" spans="1:15" ht="25.25" customHeight="1" x14ac:dyDescent="0.45">
      <c r="A30" s="26">
        <v>28</v>
      </c>
      <c r="B30" s="27" t="s">
        <v>84</v>
      </c>
      <c r="C30" s="28" t="str">
        <f>IFERROR(VLOOKUP($B30,자재리스트!$B$4:$M$92,2,FALSE),)</f>
        <v>EMI/EMC filter</v>
      </c>
      <c r="D30" s="27"/>
      <c r="E30" s="27" t="str">
        <f>IFERROR(VLOOKUP($B30,자재리스트!$B$4:$M$92,4,FALSE),)</f>
        <v>정션박스 전자파 차폐용</v>
      </c>
      <c r="F30" s="27" t="str">
        <f>IFERROR(VLOOKUP($B30,자재리스트!$B$4:$M$92,5,FALSE),)</f>
        <v xml:space="preserve"> - </v>
      </c>
      <c r="G30" s="27" t="str">
        <f>IFERROR(VLOOKUP($B30,자재리스트!$B$5:$M$92,6,FALSE),)</f>
        <v>한국</v>
      </c>
      <c r="H30" s="27" t="str">
        <f>IFERROR(VLOOKUP($B30,자재리스트!$B$4:$M$92,7,FALSE),)</f>
        <v>개</v>
      </c>
      <c r="I30" s="29">
        <v>7</v>
      </c>
      <c r="J30" s="29" t="str">
        <f>IFERROR(VLOOKUP($B30,자재리스트!$B$4:$M$92,8,FALSE),)</f>
        <v>KRW</v>
      </c>
      <c r="K30" s="29">
        <f>IFERROR(VLOOKUP($B30,자재리스트!$B$4:$M$92,9,FALSE),)</f>
        <v>77000</v>
      </c>
      <c r="L30" s="29">
        <f>I30*K30</f>
        <v>539000</v>
      </c>
      <c r="M30" s="27" t="str">
        <f>IFERROR(VLOOKUP($B30,자재리스트!$B$4:$M$92,10,FALSE),)</f>
        <v>오키</v>
      </c>
      <c r="N30" s="27" t="str">
        <f>IFERROR(VLOOKUP($B30,자재리스트!$B$4:$M$92,11,FALSE),)</f>
        <v>거래명세서</v>
      </c>
      <c r="O30" s="27" t="str">
        <f>IFERROR(VLOOKUP($B30,자재리스트!$B$4:$M$92,12,FALSE),)</f>
        <v xml:space="preserve"> - </v>
      </c>
    </row>
    <row r="31" spans="1:15" ht="25.25" customHeight="1" x14ac:dyDescent="0.45">
      <c r="A31" s="26">
        <v>11</v>
      </c>
      <c r="B31" s="27" t="s">
        <v>75</v>
      </c>
      <c r="C31" s="28" t="str">
        <f>IFERROR(VLOOKUP($B31,자재리스트!$B$4:$M$92,2,FALSE),)</f>
        <v>UPS</v>
      </c>
      <c r="D31" s="27"/>
      <c r="E31" s="27" t="str">
        <f>IFERROR(VLOOKUP($B31,자재리스트!$B$4:$M$92,4,FALSE),)</f>
        <v>1kVA, 무정전 전원 공급, Stand type</v>
      </c>
      <c r="F31" s="27" t="str">
        <f>IFERROR(VLOOKUP($B31,자재리스트!$B$4:$M$92,5,FALSE),)</f>
        <v xml:space="preserve"> - </v>
      </c>
      <c r="G31" s="27" t="str">
        <f>IFERROR(VLOOKUP($B31,자재리스트!$B$5:$M$92,6,FALSE),)</f>
        <v>한국</v>
      </c>
      <c r="H31" s="27" t="str">
        <f>IFERROR(VLOOKUP($B31,자재리스트!$B$4:$M$92,7,FALSE),)</f>
        <v>개</v>
      </c>
      <c r="I31" s="29">
        <v>1</v>
      </c>
      <c r="J31" s="29" t="str">
        <f>IFERROR(VLOOKUP($B31,자재리스트!$B$4:$M$92,8,FALSE),)</f>
        <v>KRW</v>
      </c>
      <c r="K31" s="29">
        <f>IFERROR(VLOOKUP($B31,자재리스트!$B$4:$M$92,9,FALSE),)</f>
        <v>1325500</v>
      </c>
      <c r="L31" s="29">
        <f>I31*K31</f>
        <v>1325500</v>
      </c>
      <c r="M31" s="27" t="str">
        <f>IFERROR(VLOOKUP($B31,자재리스트!$B$4:$M$92,10,FALSE),)</f>
        <v>기호티이에스</v>
      </c>
      <c r="N31" s="27" t="str">
        <f>IFERROR(VLOOKUP($B31,자재리스트!$B$4:$M$92,11,FALSE),)</f>
        <v>거래명세서</v>
      </c>
      <c r="O31" s="27" t="str">
        <f>IFERROR(VLOOKUP($B31,자재리스트!$B$4:$M$92,12,FALSE),)</f>
        <v>마린필터, network card, 케이블 포함</v>
      </c>
    </row>
    <row r="32" spans="1:15" ht="25.25" customHeight="1" x14ac:dyDescent="0.45">
      <c r="A32" s="26">
        <v>25</v>
      </c>
      <c r="B32" s="27" t="s">
        <v>76</v>
      </c>
      <c r="C32" s="28" t="str">
        <f>IFERROR(VLOOKUP($B32,자재리스트!$B$4:$M$92,2,FALSE),)</f>
        <v>멀티탭</v>
      </c>
      <c r="D32" s="27"/>
      <c r="E32" s="27" t="str">
        <f>IFERROR(VLOOKUP($B32,자재리스트!$B$4:$M$92,4,FALSE),)</f>
        <v>UPS용</v>
      </c>
      <c r="F32" s="27" t="str">
        <f>IFERROR(VLOOKUP($B32,자재리스트!$B$4:$M$92,5,FALSE),)</f>
        <v xml:space="preserve"> - </v>
      </c>
      <c r="G32" s="27" t="str">
        <f>IFERROR(VLOOKUP($B32,자재리스트!$B$5:$M$92,6,FALSE),)</f>
        <v>한국</v>
      </c>
      <c r="H32" s="27" t="str">
        <f>IFERROR(VLOOKUP($B32,자재리스트!$B$4:$M$92,7,FALSE),)</f>
        <v>개</v>
      </c>
      <c r="I32" s="29">
        <v>4</v>
      </c>
      <c r="J32" s="29" t="str">
        <f>IFERROR(VLOOKUP($B32,자재리스트!$B$4:$M$92,8,FALSE),)</f>
        <v>KRW</v>
      </c>
      <c r="K32" s="29">
        <f>IFERROR(VLOOKUP($B32,자재리스트!$B$4:$M$92,9,FALSE),)</f>
        <v>10800</v>
      </c>
      <c r="L32" s="29">
        <f t="shared" ref="L32:L37" si="1">I32*K32</f>
        <v>43200</v>
      </c>
      <c r="M32" s="27" t="str">
        <f>IFERROR(VLOOKUP($B32,자재리스트!$B$4:$M$92,10,FALSE),)</f>
        <v>쿠팡</v>
      </c>
      <c r="N32" s="27" t="str">
        <f>IFERROR(VLOOKUP($B32,자재리스트!$B$4:$M$92,11,FALSE),)</f>
        <v>거래명세서</v>
      </c>
      <c r="O32" s="27" t="str">
        <f>IFERROR(VLOOKUP($B32,자재리스트!$B$4:$M$92,12,FALSE),)</f>
        <v xml:space="preserve"> - </v>
      </c>
    </row>
    <row r="33" spans="1:15" ht="25.25" customHeight="1" x14ac:dyDescent="0.45">
      <c r="A33" s="26">
        <v>26</v>
      </c>
      <c r="B33" s="27" t="s">
        <v>77</v>
      </c>
      <c r="C33" s="28" t="str">
        <f>IFERROR(VLOOKUP($B33,자재리스트!$B$4:$M$92,2,FALSE),)</f>
        <v>C13-C14(MALE)</v>
      </c>
      <c r="D33" s="27"/>
      <c r="E33" s="27" t="str">
        <f>IFERROR(VLOOKUP($B33,자재리스트!$B$4:$M$92,4,FALSE),)</f>
        <v>UPS용</v>
      </c>
      <c r="F33" s="27" t="str">
        <f>IFERROR(VLOOKUP($B33,자재리스트!$B$4:$M$92,5,FALSE),)</f>
        <v xml:space="preserve"> - </v>
      </c>
      <c r="G33" s="27" t="str">
        <f>IFERROR(VLOOKUP($B33,자재리스트!$B$5:$M$92,6,FALSE),)</f>
        <v>한국</v>
      </c>
      <c r="H33" s="27" t="str">
        <f>IFERROR(VLOOKUP($B33,자재리스트!$B$4:$M$92,7,FALSE),)</f>
        <v>개</v>
      </c>
      <c r="I33" s="29">
        <v>5</v>
      </c>
      <c r="J33" s="29" t="str">
        <f>IFERROR(VLOOKUP($B33,자재리스트!$B$4:$M$92,8,FALSE),)</f>
        <v>KRW</v>
      </c>
      <c r="K33" s="29">
        <f>IFERROR(VLOOKUP($B33,자재리스트!$B$4:$M$92,9,FALSE),)</f>
        <v>9900</v>
      </c>
      <c r="L33" s="29">
        <f t="shared" si="1"/>
        <v>49500</v>
      </c>
      <c r="M33" s="27" t="str">
        <f>IFERROR(VLOOKUP($B33,자재리스트!$B$4:$M$92,10,FALSE),)</f>
        <v>한주전자</v>
      </c>
      <c r="N33" s="27" t="str">
        <f>IFERROR(VLOOKUP($B33,자재리스트!$B$4:$M$92,11,FALSE),)</f>
        <v>거래명세서</v>
      </c>
      <c r="O33" s="27" t="str">
        <f>IFERROR(VLOOKUP($B33,자재리스트!$B$4:$M$92,12,FALSE),)</f>
        <v xml:space="preserve"> - </v>
      </c>
    </row>
    <row r="34" spans="1:15" ht="25.25" customHeight="1" x14ac:dyDescent="0.45">
      <c r="A34" s="26">
        <v>15</v>
      </c>
      <c r="B34" s="46" t="s">
        <v>92</v>
      </c>
      <c r="C34" s="28" t="str">
        <f>IFERROR(VLOOKUP($B34,자재리스트!$B$4:$M$92,2,FALSE),)</f>
        <v>Selector Switch</v>
      </c>
      <c r="D34" s="27"/>
      <c r="E34" s="27" t="str">
        <f>IFERROR(VLOOKUP($B34,자재리스트!$B$4:$M$92,4,FALSE),)</f>
        <v>HiNAS control 선택 스위치</v>
      </c>
      <c r="F34" s="27" t="str">
        <f>IFERROR(VLOOKUP($B34,자재리스트!$B$4:$M$92,5,FALSE),)</f>
        <v xml:space="preserve"> - </v>
      </c>
      <c r="G34" s="27" t="str">
        <f>IFERROR(VLOOKUP($B34,자재리스트!$B$5:$M$92,6,FALSE),)</f>
        <v>한국</v>
      </c>
      <c r="H34" s="27" t="str">
        <f>IFERROR(VLOOKUP($B34,자재리스트!$B$4:$M$92,7,FALSE),)</f>
        <v>개</v>
      </c>
      <c r="I34" s="29">
        <v>1</v>
      </c>
      <c r="J34" s="29" t="str">
        <f>IFERROR(VLOOKUP($B34,자재리스트!$B$4:$M$92,8,FALSE),)</f>
        <v>USD</v>
      </c>
      <c r="K34" s="29">
        <f>IFERROR(VLOOKUP($B34,자재리스트!$B$4:$M$92,9,FALSE),)</f>
        <v>1330</v>
      </c>
      <c r="L34" s="29">
        <f>I34*K34</f>
        <v>1330</v>
      </c>
      <c r="M34" s="27" t="str">
        <f>IFERROR(VLOOKUP($B34,자재리스트!$B$4:$M$92,10,FALSE),)</f>
        <v>MRC/YDK</v>
      </c>
      <c r="N34" s="27" t="str">
        <f>IFERROR(VLOOKUP($B34,자재리스트!$B$4:$M$92,11,FALSE),)</f>
        <v>거래명세서</v>
      </c>
      <c r="O34" s="27" t="str">
        <f>IFERROR(VLOOKUP($B34,자재리스트!$B$4:$M$92,12,FALSE),)</f>
        <v>YOKOGAWA (w. DIMMER BOX)</v>
      </c>
    </row>
    <row r="35" spans="1:15" ht="25.25" customHeight="1" x14ac:dyDescent="0.45">
      <c r="A35" s="26">
        <v>16</v>
      </c>
      <c r="B35" s="46" t="s">
        <v>116</v>
      </c>
      <c r="C35" s="28" t="str">
        <f>IFERROR(VLOOKUP($B35,자재리스트!$B$4:$M$92,2,FALSE),)</f>
        <v>AP</v>
      </c>
      <c r="D35" s="27"/>
      <c r="E35" s="27" t="str">
        <f>IFERROR(VLOOKUP($B35,자재리스트!$B$4:$M$92,4,FALSE),)</f>
        <v>무선 공유기</v>
      </c>
      <c r="F35" s="27" t="str">
        <f>IFERROR(VLOOKUP($B35,자재리스트!$B$4:$M$92,5,FALSE),)</f>
        <v xml:space="preserve"> - </v>
      </c>
      <c r="G35" s="27" t="str">
        <f>IFERROR(VLOOKUP($B35,자재리스트!$B$5:$M$92,6,FALSE),)</f>
        <v>한국</v>
      </c>
      <c r="H35" s="27" t="str">
        <f>IFERROR(VLOOKUP($B35,자재리스트!$B$4:$M$92,7,FALSE),)</f>
        <v>개</v>
      </c>
      <c r="I35" s="29">
        <v>2</v>
      </c>
      <c r="J35" s="29" t="str">
        <f>IFERROR(VLOOKUP($B35,자재리스트!$B$4:$M$92,8,FALSE),)</f>
        <v>KRW</v>
      </c>
      <c r="K35" s="29">
        <f>IFERROR(VLOOKUP($B35,자재리스트!$B$4:$M$92,9,FALSE),)</f>
        <v>72000</v>
      </c>
      <c r="L35" s="29">
        <f>I35*K35</f>
        <v>144000</v>
      </c>
      <c r="M35" s="27" t="str">
        <f>IFERROR(VLOOKUP($B35,자재리스트!$B$4:$M$92,10,FALSE),)</f>
        <v>쿠팡</v>
      </c>
      <c r="N35" s="27" t="str">
        <f>IFERROR(VLOOKUP($B35,자재리스트!$B$4:$M$92,11,FALSE),)</f>
        <v>거래명세서</v>
      </c>
      <c r="O35" s="27" t="str">
        <f>IFERROR(VLOOKUP($B35,자재리스트!$B$4:$M$92,12,FALSE),)</f>
        <v xml:space="preserve"> - </v>
      </c>
    </row>
    <row r="36" spans="1:15" ht="25.25" customHeight="1" x14ac:dyDescent="0.45">
      <c r="A36" s="26">
        <v>17</v>
      </c>
      <c r="B36" s="41" t="s">
        <v>117</v>
      </c>
      <c r="C36" s="28" t="str">
        <f>IFERROR(VLOOKUP($B36,자재리스트!$B$4:$M$92,2,FALSE),)</f>
        <v>Tablet PC</v>
      </c>
      <c r="D36" s="27"/>
      <c r="E36" s="27" t="str">
        <f>IFERROR(VLOOKUP($B36,자재리스트!$B$4:$M$92,4,FALSE),)</f>
        <v>Portable 모니터</v>
      </c>
      <c r="F36" s="27" t="str">
        <f>IFERROR(VLOOKUP($B36,자재리스트!$B$4:$M$92,5,FALSE),)</f>
        <v xml:space="preserve"> - </v>
      </c>
      <c r="G36" s="27" t="str">
        <f>IFERROR(VLOOKUP($B36,자재리스트!$B$5:$M$92,6,FALSE),)</f>
        <v>한국</v>
      </c>
      <c r="H36" s="27" t="str">
        <f>IFERROR(VLOOKUP($B36,자재리스트!$B$4:$M$92,7,FALSE),)</f>
        <v>개</v>
      </c>
      <c r="I36" s="29">
        <v>2</v>
      </c>
      <c r="J36" s="29" t="str">
        <f>IFERROR(VLOOKUP($B36,자재리스트!$B$4:$M$92,8,FALSE),)</f>
        <v>KRW</v>
      </c>
      <c r="K36" s="29">
        <f>IFERROR(VLOOKUP($B36,자재리스트!$B$4:$M$92,9,FALSE),)</f>
        <v>650000</v>
      </c>
      <c r="L36" s="29">
        <f>I36*K36</f>
        <v>1300000</v>
      </c>
      <c r="M36" s="27" t="str">
        <f>IFERROR(VLOOKUP($B36,자재리스트!$B$4:$M$92,10,FALSE),)</f>
        <v>컴퓨존</v>
      </c>
      <c r="N36" s="27" t="str">
        <f>IFERROR(VLOOKUP($B36,자재리스트!$B$4:$M$92,11,FALSE),)</f>
        <v>거래명세서</v>
      </c>
      <c r="O36" s="27" t="str">
        <f>IFERROR(VLOOKUP($B36,자재리스트!$B$4:$M$92,12,FALSE),)</f>
        <v>COVER CASE, POWER ADAPTER 포함</v>
      </c>
    </row>
    <row r="37" spans="1:15" ht="24.75" customHeight="1" x14ac:dyDescent="0.45">
      <c r="A37" s="26">
        <v>29</v>
      </c>
      <c r="B37" s="27" t="s">
        <v>118</v>
      </c>
      <c r="C37" s="28">
        <f>IFERROR(VLOOKUP($B37,자재리스트!$B$4:$M$92,2,FALSE),)</f>
        <v>0</v>
      </c>
      <c r="D37" s="27"/>
      <c r="E37" s="27">
        <f>IFERROR(VLOOKUP($B37,자재리스트!$B$4:$M$92,4,FALSE),)</f>
        <v>0</v>
      </c>
      <c r="F37" s="27">
        <f>IFERROR(VLOOKUP($B37,자재리스트!$B$4:$M$92,5,FALSE),)</f>
        <v>0</v>
      </c>
      <c r="G37" s="27">
        <f>IFERROR(VLOOKUP($B37,자재리스트!$B$5:$M$92,6,FALSE),)</f>
        <v>0</v>
      </c>
      <c r="H37" s="27">
        <f>IFERROR(VLOOKUP($B37,자재리스트!$B$4:$M$92,7,FALSE),)</f>
        <v>0</v>
      </c>
      <c r="I37" s="29">
        <v>8</v>
      </c>
      <c r="J37" s="29">
        <f>IFERROR(VLOOKUP($B37,자재리스트!$B$4:$M$92,8,FALSE),)</f>
        <v>0</v>
      </c>
      <c r="K37" s="29">
        <f>IFERROR(VLOOKUP($B37,자재리스트!$B$4:$M$92,9,FALSE),)</f>
        <v>0</v>
      </c>
      <c r="L37" s="29">
        <f t="shared" si="1"/>
        <v>0</v>
      </c>
      <c r="M37" s="27">
        <f>IFERROR(VLOOKUP($B37,자재리스트!$B$4:$M$92,10,FALSE),)</f>
        <v>0</v>
      </c>
      <c r="N37" s="27">
        <f>IFERROR(VLOOKUP($B37,자재리스트!$B$4:$M$92,11,FALSE),)</f>
        <v>0</v>
      </c>
      <c r="O37" s="27">
        <f>IFERROR(VLOOKUP($B37,자재리스트!$B$4:$M$92,12,FALSE),)</f>
        <v>0</v>
      </c>
    </row>
    <row r="38" spans="1:15" ht="17.5" x14ac:dyDescent="0.45">
      <c r="A38" s="34"/>
      <c r="B38" s="34"/>
      <c r="C38" s="122" t="s">
        <v>78</v>
      </c>
      <c r="D38" s="122"/>
      <c r="E38" s="122"/>
      <c r="F38" s="122"/>
      <c r="G38" s="122"/>
      <c r="H38" s="122"/>
      <c r="I38" s="122"/>
      <c r="J38" s="122"/>
      <c r="K38" s="122"/>
      <c r="L38" s="122"/>
      <c r="M38" s="122"/>
      <c r="N38" s="122"/>
      <c r="O38" s="122"/>
    </row>
    <row r="39" spans="1:15" ht="17.5" x14ac:dyDescent="0.45">
      <c r="A39" s="34"/>
      <c r="B39" s="34"/>
      <c r="C39" s="122" t="s">
        <v>79</v>
      </c>
      <c r="D39" s="122"/>
      <c r="E39" s="122"/>
      <c r="F39" s="122"/>
      <c r="G39" s="122"/>
      <c r="H39" s="122"/>
      <c r="I39" s="122"/>
      <c r="J39" s="122"/>
      <c r="K39" s="122"/>
      <c r="L39" s="122"/>
      <c r="M39" s="122"/>
      <c r="N39" s="122"/>
      <c r="O39" s="122"/>
    </row>
    <row r="40" spans="1:15" x14ac:dyDescent="0.45">
      <c r="A40" s="34"/>
      <c r="B40" s="34"/>
      <c r="C40" s="34"/>
      <c r="D40" s="34"/>
      <c r="E40" s="34"/>
      <c r="F40" s="34"/>
      <c r="G40" s="34"/>
      <c r="H40" s="34"/>
      <c r="I40" s="34"/>
      <c r="J40" s="34"/>
      <c r="K40" s="34"/>
      <c r="L40" s="34"/>
      <c r="M40" s="34"/>
      <c r="N40" s="34"/>
      <c r="O40" s="34"/>
    </row>
  </sheetData>
  <mergeCells count="4">
    <mergeCell ref="A2:O2"/>
    <mergeCell ref="C10:D10"/>
    <mergeCell ref="C38:O38"/>
    <mergeCell ref="C39:O39"/>
  </mergeCells>
  <phoneticPr fontId="3" type="noConversion"/>
  <printOptions horizontalCentered="1"/>
  <pageMargins left="0.70866141732283472" right="0.70866141732283472" top="0.74803149606299213" bottom="0.74803149606299213" header="0.31496062992125984" footer="0.31496062992125984"/>
  <pageSetup paperSize="9" scale="70" fitToHeight="0" orientation="landscape" r:id="rId1"/>
  <headerFooter>
    <oddFooter>&amp;L_x000D_&amp;1#&amp;"Calibri"&amp;9&amp;K000000 Confidential | AVIKUS – Unauthorized distribution is strictly prohibited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A617B-289D-4EF5-947B-60D863741D6B}">
  <sheetPr>
    <tabColor rgb="FFFF0000"/>
    <pageSetUpPr fitToPage="1"/>
  </sheetPr>
  <dimension ref="A2:P29"/>
  <sheetViews>
    <sheetView showGridLines="0" view="pageBreakPreview" topLeftCell="A8" zoomScaleNormal="100" zoomScaleSheetLayoutView="100" workbookViewId="0">
      <selection activeCell="J20" sqref="J20"/>
    </sheetView>
  </sheetViews>
  <sheetFormatPr defaultColWidth="10" defaultRowHeight="17" x14ac:dyDescent="0.45"/>
  <cols>
    <col min="1" max="1" width="6.4140625" style="16" customWidth="1"/>
    <col min="2" max="2" width="13.5" style="16" customWidth="1"/>
    <col min="3" max="3" width="2.08203125" style="16" customWidth="1"/>
    <col min="4" max="5" width="20" style="16" customWidth="1"/>
    <col min="6" max="9" width="10" style="16"/>
    <col min="10" max="10" width="7" style="16" bestFit="1" customWidth="1"/>
    <col min="11" max="12" width="10" style="16"/>
    <col min="13" max="13" width="16.1640625" style="16" customWidth="1"/>
    <col min="14" max="14" width="14.5" style="16" customWidth="1"/>
    <col min="15" max="15" width="13" style="16" customWidth="1"/>
    <col min="16" max="16384" width="10" style="16"/>
  </cols>
  <sheetData>
    <row r="2" spans="1:16" ht="30" x14ac:dyDescent="0.45">
      <c r="A2" s="117" t="s">
        <v>38</v>
      </c>
      <c r="B2" s="117"/>
      <c r="C2" s="117"/>
      <c r="D2" s="117"/>
      <c r="E2" s="117"/>
      <c r="F2" s="117"/>
      <c r="G2" s="117"/>
      <c r="H2" s="117"/>
      <c r="I2" s="117"/>
      <c r="J2" s="117"/>
      <c r="K2" s="117"/>
      <c r="L2" s="117"/>
      <c r="M2" s="117"/>
      <c r="N2" s="117"/>
      <c r="O2" s="117"/>
    </row>
    <row r="3" spans="1:16" x14ac:dyDescent="0.45">
      <c r="C3" s="16" t="s">
        <v>39</v>
      </c>
    </row>
    <row r="4" spans="1:16" ht="21" customHeight="1" x14ac:dyDescent="0.45">
      <c r="A4" s="18" t="s">
        <v>40</v>
      </c>
      <c r="B4" s="19"/>
      <c r="C4" s="19" t="s">
        <v>41</v>
      </c>
      <c r="D4" s="20" t="s">
        <v>32</v>
      </c>
      <c r="E4" s="21"/>
      <c r="F4" s="21"/>
      <c r="G4" s="21"/>
      <c r="H4" s="21"/>
      <c r="I4" s="21"/>
      <c r="J4" s="21"/>
      <c r="K4" s="21"/>
      <c r="L4" s="21"/>
      <c r="M4" s="21"/>
      <c r="N4" s="21"/>
      <c r="O4" s="21"/>
    </row>
    <row r="5" spans="1:16" ht="21" customHeight="1" x14ac:dyDescent="0.45">
      <c r="A5" s="21" t="s">
        <v>43</v>
      </c>
      <c r="C5" s="16" t="s">
        <v>41</v>
      </c>
      <c r="D5" s="16" t="s">
        <v>119</v>
      </c>
      <c r="E5" s="21"/>
      <c r="F5" s="21"/>
      <c r="G5" s="21"/>
      <c r="H5" s="21"/>
      <c r="I5" s="21"/>
      <c r="J5" s="21"/>
      <c r="K5" s="21"/>
      <c r="L5" s="21"/>
      <c r="M5" s="21"/>
      <c r="N5" s="21"/>
      <c r="O5" s="21"/>
    </row>
    <row r="6" spans="1:16" ht="21" customHeight="1" x14ac:dyDescent="0.45">
      <c r="A6" s="21" t="s">
        <v>44</v>
      </c>
      <c r="C6" s="16" t="s">
        <v>41</v>
      </c>
      <c r="E6" s="21"/>
      <c r="F6" s="21"/>
      <c r="G6" s="21"/>
      <c r="H6" s="21"/>
      <c r="I6" s="21"/>
      <c r="J6" s="21"/>
      <c r="K6" s="21"/>
      <c r="L6" s="21"/>
      <c r="M6" s="21"/>
      <c r="N6" s="21"/>
      <c r="O6" s="21"/>
    </row>
    <row r="7" spans="1:16" ht="21" customHeight="1" x14ac:dyDescent="0.45">
      <c r="A7" s="21" t="s">
        <v>45</v>
      </c>
      <c r="C7" s="16" t="s">
        <v>41</v>
      </c>
      <c r="E7" s="21"/>
      <c r="F7" s="21" t="s">
        <v>39</v>
      </c>
      <c r="G7" s="21"/>
      <c r="H7" s="21"/>
      <c r="I7" s="21"/>
      <c r="J7" s="21"/>
      <c r="K7" s="21"/>
      <c r="L7" s="21"/>
      <c r="M7" s="21"/>
      <c r="N7" s="21"/>
      <c r="O7" s="21"/>
    </row>
    <row r="8" spans="1:16" ht="21" customHeight="1" x14ac:dyDescent="0.45">
      <c r="A8" s="21" t="s">
        <v>46</v>
      </c>
      <c r="E8" s="21"/>
      <c r="F8" s="21"/>
      <c r="G8" s="21"/>
      <c r="H8" s="21"/>
      <c r="I8" s="21"/>
      <c r="J8" s="21"/>
      <c r="K8" s="21"/>
      <c r="L8" s="21"/>
      <c r="M8" s="21"/>
      <c r="N8" s="21"/>
      <c r="O8" s="21"/>
    </row>
    <row r="9" spans="1:16" ht="6" customHeight="1" x14ac:dyDescent="0.45"/>
    <row r="10" spans="1:16" ht="34" x14ac:dyDescent="0.45">
      <c r="A10" s="23" t="s">
        <v>47</v>
      </c>
      <c r="B10" s="24" t="s">
        <v>48</v>
      </c>
      <c r="C10" s="118" t="s">
        <v>49</v>
      </c>
      <c r="D10" s="119"/>
      <c r="E10" s="24" t="s">
        <v>50</v>
      </c>
      <c r="F10" s="25" t="s">
        <v>51</v>
      </c>
      <c r="G10" s="24" t="s">
        <v>52</v>
      </c>
      <c r="H10" s="24" t="s">
        <v>53</v>
      </c>
      <c r="I10" s="24" t="s">
        <v>54</v>
      </c>
      <c r="J10" s="24" t="s">
        <v>55</v>
      </c>
      <c r="K10" s="24" t="s">
        <v>57</v>
      </c>
      <c r="L10" s="24" t="s">
        <v>58</v>
      </c>
      <c r="M10" s="24" t="s">
        <v>60</v>
      </c>
      <c r="N10" s="24" t="s">
        <v>61</v>
      </c>
      <c r="O10" s="24" t="s">
        <v>62</v>
      </c>
    </row>
    <row r="11" spans="1:16" ht="25.25" customHeight="1" x14ac:dyDescent="0.45">
      <c r="A11" s="26">
        <v>1</v>
      </c>
      <c r="B11" s="41" t="s">
        <v>120</v>
      </c>
      <c r="C11" s="28" t="str">
        <f>IFERROR(VLOOKUP($B11,자재리스트!$B$4:$M$92,2,FALSE),)</f>
        <v>Monitor</v>
      </c>
      <c r="D11" s="27"/>
      <c r="E11" s="27" t="str">
        <f>IFERROR(VLOOKUP($B11,자재리스트!$B$4:$M$92,4,FALSE),)</f>
        <v>27인치 모니터</v>
      </c>
      <c r="F11" s="27" t="str">
        <f>IFERROR(VLOOKUP($B11,자재리스트!$B$4:$M$92,5,FALSE),)</f>
        <v xml:space="preserve"> - </v>
      </c>
      <c r="G11" s="27" t="str">
        <f>IFERROR(VLOOKUP($B11,자재리스트!$B$4:$M$92,6,FALSE),)</f>
        <v>한국</v>
      </c>
      <c r="H11" s="27" t="str">
        <f>IFERROR(VLOOKUP($B11,자재리스트!$B$4:$M$92,7,FALSE),)</f>
        <v>개</v>
      </c>
      <c r="I11" s="29">
        <v>1</v>
      </c>
      <c r="J11" s="29" t="str">
        <f>IFERROR(VLOOKUP($B11,자재리스트!$B$4:$M$92,8,FALSE),)</f>
        <v>KRW</v>
      </c>
      <c r="K11" s="29">
        <f>IFERROR(VLOOKUP($B11,자재리스트!$B$4:$M$92,9,FALSE),)</f>
        <v>3020000</v>
      </c>
      <c r="L11" s="29">
        <f>I11*K11</f>
        <v>3020000</v>
      </c>
      <c r="M11" s="27" t="str">
        <f>IFERROR(VLOOKUP($B11,자재리스트!$B$4:$M$92,10,FALSE),)</f>
        <v>MRC/테트라다인</v>
      </c>
      <c r="N11" s="27" t="str">
        <f>IFERROR(VLOOKUP($B11,자재리스트!$B$4:$M$92,11,FALSE),)</f>
        <v>거래명세서</v>
      </c>
      <c r="O11" s="27" t="str">
        <f>IFERROR(VLOOKUP($B11,자재리스트!$B$4:$M$92,12,FALSE),)</f>
        <v>RCU, RCU cable, RS485 cable, bracket 포함</v>
      </c>
      <c r="P11" s="30"/>
    </row>
    <row r="12" spans="1:16" ht="25.25" customHeight="1" x14ac:dyDescent="0.45">
      <c r="A12" s="26">
        <v>2</v>
      </c>
      <c r="B12" s="27" t="s">
        <v>64</v>
      </c>
      <c r="C12" s="28" t="str">
        <f>IFERROR(VLOOKUP($B12,자재리스트!$B$4:$M$92,2,FALSE),)</f>
        <v>Server</v>
      </c>
      <c r="D12" s="27"/>
      <c r="E12" s="27" t="str">
        <f>IFERROR(VLOOKUP($B12,자재리스트!$B$4:$M$92,4,FALSE),)</f>
        <v>메인 서버</v>
      </c>
      <c r="F12" s="27" t="str">
        <f>IFERROR(VLOOKUP($B12,자재리스트!$B$4:$M$92,5,FALSE),)</f>
        <v xml:space="preserve"> - </v>
      </c>
      <c r="G12" s="27" t="str">
        <f>IFERROR(VLOOKUP($B12,자재리스트!$B$4:$M$92,6,FALSE),)</f>
        <v>중국</v>
      </c>
      <c r="H12" s="27" t="str">
        <f>IFERROR(VLOOKUP($B12,자재리스트!$B$4:$M$92,7,FALSE),)</f>
        <v>개</v>
      </c>
      <c r="I12" s="29">
        <v>2</v>
      </c>
      <c r="J12" s="29" t="str">
        <f>IFERROR(VLOOKUP($B12,자재리스트!$B$4:$M$92,8,FALSE),)</f>
        <v>KRW</v>
      </c>
      <c r="K12" s="29">
        <f>IFERROR(VLOOKUP($B12,자재리스트!$B$4:$M$92,9,FALSE),)</f>
        <v>3320000</v>
      </c>
      <c r="L12" s="29">
        <f t="shared" ref="L12:L26" si="0">I12*K12</f>
        <v>6640000</v>
      </c>
      <c r="M12" s="27" t="str">
        <f>IFERROR(VLOOKUP($B12,자재리스트!$B$4:$M$92,10,FALSE),)</f>
        <v>테트라다인</v>
      </c>
      <c r="N12" s="27" t="str">
        <f>IFERROR(VLOOKUP($B12,자재리스트!$B$4:$M$92,11,FALSE),)</f>
        <v>거래명세서</v>
      </c>
      <c r="O12" s="27" t="str">
        <f>IFERROR(VLOOKUP($B12,자재리스트!$B$4:$M$92,12,FALSE),)</f>
        <v xml:space="preserve"> - </v>
      </c>
      <c r="P12" s="30"/>
    </row>
    <row r="13" spans="1:16" ht="25.25" customHeight="1" x14ac:dyDescent="0.45">
      <c r="A13" s="26">
        <v>3</v>
      </c>
      <c r="B13" s="27" t="s">
        <v>71</v>
      </c>
      <c r="C13" s="28" t="str">
        <f>IFERROR(VLOOKUP($B13,자재리스트!$B$4:$M$92,2,FALSE),)</f>
        <v>Single Board Computer</v>
      </c>
      <c r="D13" s="27"/>
      <c r="E13" s="27" t="str">
        <f>IFERROR(VLOOKUP($B13,자재리스트!$B$4:$M$92,4,FALSE),)</f>
        <v>카메라와 서버 연동</v>
      </c>
      <c r="F13" s="27" t="str">
        <f>IFERROR(VLOOKUP($B13,자재리스트!$B$4:$M$92,5,FALSE),)</f>
        <v xml:space="preserve"> - </v>
      </c>
      <c r="G13" s="27" t="str">
        <f>IFERROR(VLOOKUP($B13,자재리스트!$B$4:$M$92,6,FALSE),)</f>
        <v>인도</v>
      </c>
      <c r="H13" s="27" t="str">
        <f>IFERROR(VLOOKUP($B13,자재리스트!$B$4:$M$92,7,FALSE),)</f>
        <v>개</v>
      </c>
      <c r="I13" s="29">
        <v>1</v>
      </c>
      <c r="J13" s="29" t="str">
        <f>IFERROR(VLOOKUP($B13,자재리스트!$B$4:$M$92,8,FALSE),)</f>
        <v>KRW</v>
      </c>
      <c r="K13" s="29">
        <f>IFERROR(VLOOKUP($B13,자재리스트!$B$4:$M$92,9,FALSE),)</f>
        <v>4508312</v>
      </c>
      <c r="L13" s="29">
        <f t="shared" si="0"/>
        <v>4508312</v>
      </c>
      <c r="M13" s="27" t="str">
        <f>IFERROR(VLOOKUP($B13,자재리스트!$B$4:$M$92,10,FALSE),)</f>
        <v>사이더스/e-con</v>
      </c>
      <c r="N13" s="27" t="str">
        <f>IFERROR(VLOOKUP($B13,자재리스트!$B$4:$M$92,11,FALSE),)</f>
        <v>거래명세서</v>
      </c>
      <c r="O13" s="27" t="str">
        <f>IFERROR(VLOOKUP($B13,자재리스트!$B$4:$M$92,12,FALSE),)</f>
        <v xml:space="preserve"> - </v>
      </c>
    </row>
    <row r="14" spans="1:16" ht="25.25" customHeight="1" x14ac:dyDescent="0.45">
      <c r="A14" s="26">
        <v>4</v>
      </c>
      <c r="B14" s="27" t="s">
        <v>67</v>
      </c>
      <c r="C14" s="28" t="str">
        <f>IFERROR(VLOOKUP($B14,자재리스트!$B$4:$M$92,2,FALSE),)</f>
        <v>EO Camera</v>
      </c>
      <c r="D14" s="27"/>
      <c r="E14" s="27" t="str">
        <f>IFERROR(VLOOKUP($B14,자재리스트!$B$4:$M$92,4,FALSE),)</f>
        <v>광학 카메라(4K)</v>
      </c>
      <c r="F14" s="27" t="str">
        <f>IFERROR(VLOOKUP($B14,자재리스트!$B$4:$M$92,5,FALSE),)</f>
        <v xml:space="preserve"> - </v>
      </c>
      <c r="G14" s="27" t="str">
        <f>IFERROR(VLOOKUP($B14,자재리스트!$B$4:$M$92,6,FALSE),)</f>
        <v>인도</v>
      </c>
      <c r="H14" s="27" t="str">
        <f>IFERROR(VLOOKUP($B14,자재리스트!$B$4:$M$92,7,FALSE),)</f>
        <v>개</v>
      </c>
      <c r="I14" s="29">
        <v>3</v>
      </c>
      <c r="J14" s="29" t="str">
        <f>IFERROR(VLOOKUP($B14,자재리스트!$B$4:$M$92,8,FALSE),)</f>
        <v>KRW</v>
      </c>
      <c r="K14" s="29">
        <f>IFERROR(VLOOKUP($B14,자재리스트!$B$4:$M$92,9,FALSE),)</f>
        <v>532576</v>
      </c>
      <c r="L14" s="29">
        <f t="shared" si="0"/>
        <v>1597728</v>
      </c>
      <c r="M14" s="27" t="str">
        <f>IFERROR(VLOOKUP($B14,자재리스트!$B$4:$M$92,10,FALSE),)</f>
        <v>사이더스/e-con</v>
      </c>
      <c r="N14" s="27" t="str">
        <f>IFERROR(VLOOKUP($B14,자재리스트!$B$4:$M$92,11,FALSE),)</f>
        <v>거래명세서</v>
      </c>
      <c r="O14" s="27" t="str">
        <f>IFERROR(VLOOKUP($B14,자재리스트!$B$4:$M$92,12,FALSE),)</f>
        <v>w. GMSL cable</v>
      </c>
    </row>
    <row r="15" spans="1:16" ht="25.25" customHeight="1" x14ac:dyDescent="0.45">
      <c r="A15" s="26">
        <v>5</v>
      </c>
      <c r="B15" s="27" t="s">
        <v>68</v>
      </c>
      <c r="C15" s="28" t="str">
        <f>IFERROR(VLOOKUP($B15,자재리스트!$B$4:$M$92,2,FALSE),)</f>
        <v>IR camera</v>
      </c>
      <c r="D15" s="27"/>
      <c r="E15" s="27" t="str">
        <f>IFERROR(VLOOKUP($B15,자재리스트!$B$4:$M$92,4,FALSE),)</f>
        <v>열화상 카메라</v>
      </c>
      <c r="F15" s="27" t="str">
        <f>IFERROR(VLOOKUP($B15,자재리스트!$B$4:$M$92,5,FALSE),)</f>
        <v xml:space="preserve"> - </v>
      </c>
      <c r="G15" s="27" t="str">
        <f>IFERROR(VLOOKUP($B15,자재리스트!$B$4:$M$92,6,FALSE),)</f>
        <v>미국</v>
      </c>
      <c r="H15" s="27" t="str">
        <f>IFERROR(VLOOKUP($B15,자재리스트!$B$4:$M$92,7,FALSE),)</f>
        <v>개</v>
      </c>
      <c r="I15" s="29">
        <v>3</v>
      </c>
      <c r="J15" s="29" t="str">
        <f>IFERROR(VLOOKUP($B15,자재리스트!$B$4:$M$92,8,FALSE),)</f>
        <v>KRW</v>
      </c>
      <c r="K15" s="29">
        <f>IFERROR(VLOOKUP($B15,자재리스트!$B$4:$M$92,9,FALSE),)</f>
        <v>2487523</v>
      </c>
      <c r="L15" s="29">
        <f t="shared" si="0"/>
        <v>7462569</v>
      </c>
      <c r="M15" s="27" t="str">
        <f>IFERROR(VLOOKUP($B15,자재리스트!$B$4:$M$92,10,FALSE),)</f>
        <v>IRKEN/FLIR</v>
      </c>
      <c r="N15" s="27" t="str">
        <f>IFERROR(VLOOKUP($B15,자재리스트!$B$4:$M$92,11,FALSE),)</f>
        <v>거래명세서</v>
      </c>
      <c r="O15" s="27" t="str">
        <f>IFERROR(VLOOKUP($B15,자재리스트!$B$4:$M$92,12,FALSE),)</f>
        <v>w. VPC KIT</v>
      </c>
    </row>
    <row r="16" spans="1:16" ht="25.25" customHeight="1" x14ac:dyDescent="0.45">
      <c r="A16" s="26">
        <v>6</v>
      </c>
      <c r="B16" s="27" t="s">
        <v>69</v>
      </c>
      <c r="C16" s="28" t="str">
        <f>IFERROR(VLOOKUP($B16,자재리스트!$B$4:$M$92,2,FALSE),)</f>
        <v>IR camera window</v>
      </c>
      <c r="D16" s="27"/>
      <c r="E16" s="27" t="str">
        <f>IFERROR(VLOOKUP($B16,자재리스트!$B$4:$M$92,4,FALSE),)</f>
        <v>열화상 카메라 윈도우</v>
      </c>
      <c r="F16" s="27" t="str">
        <f>IFERROR(VLOOKUP($B16,자재리스트!$B$4:$M$92,5,FALSE),)</f>
        <v xml:space="preserve"> - </v>
      </c>
      <c r="G16" s="27" t="str">
        <f>IFERROR(VLOOKUP($B16,자재리스트!$B$4:$M$92,6,FALSE),)</f>
        <v>중국</v>
      </c>
      <c r="H16" s="27" t="str">
        <f>IFERROR(VLOOKUP($B16,자재리스트!$B$4:$M$92,7,FALSE),)</f>
        <v>개</v>
      </c>
      <c r="I16" s="29">
        <v>3</v>
      </c>
      <c r="J16" s="29" t="str">
        <f>IFERROR(VLOOKUP($B16,자재리스트!$B$4:$M$92,8,FALSE),)</f>
        <v>KRW</v>
      </c>
      <c r="K16" s="29">
        <f>IFERROR(VLOOKUP($B16,자재리스트!$B$4:$M$92,9,FALSE),)</f>
        <v>220965</v>
      </c>
      <c r="L16" s="29">
        <f t="shared" si="0"/>
        <v>662895</v>
      </c>
      <c r="M16" s="27" t="str">
        <f>IFERROR(VLOOKUP($B16,자재리스트!$B$4:$M$92,10,FALSE),)</f>
        <v>센서캠</v>
      </c>
      <c r="N16" s="27" t="str">
        <f>IFERROR(VLOOKUP($B16,자재리스트!$B$4:$M$92,11,FALSE),)</f>
        <v>거래명세서</v>
      </c>
      <c r="O16" s="27" t="str">
        <f>IFERROR(VLOOKUP($B16,자재리스트!$B$4:$M$92,12,FALSE),)</f>
        <v>1세대 용 (직경 42mm)</v>
      </c>
    </row>
    <row r="17" spans="1:15" ht="25.25" customHeight="1" x14ac:dyDescent="0.45">
      <c r="A17" s="26">
        <v>7</v>
      </c>
      <c r="B17" s="27" t="s">
        <v>66</v>
      </c>
      <c r="C17" s="28" t="str">
        <f>IFERROR(VLOOKUP($B17,자재리스트!$B$4:$M$92,2,FALSE),)</f>
        <v>NAS camera housing</v>
      </c>
      <c r="D17" s="27"/>
      <c r="E17" s="27" t="str">
        <f>IFERROR(VLOOKUP($B17,자재리스트!$B$4:$M$92,4,FALSE),)</f>
        <v>하우징</v>
      </c>
      <c r="F17" s="27" t="str">
        <f>IFERROR(VLOOKUP($B17,자재리스트!$B$4:$M$92,5,FALSE),)</f>
        <v xml:space="preserve"> - </v>
      </c>
      <c r="G17" s="27" t="str">
        <f>IFERROR(VLOOKUP($B17,자재리스트!$B$4:$M$92,6,FALSE),)</f>
        <v>한국</v>
      </c>
      <c r="H17" s="27" t="str">
        <f>IFERROR(VLOOKUP($B17,자재리스트!$B$4:$M$92,7,FALSE),)</f>
        <v>개</v>
      </c>
      <c r="I17" s="29">
        <v>1</v>
      </c>
      <c r="J17" s="29" t="str">
        <f>IFERROR(VLOOKUP($B17,자재리스트!$B$4:$M$92,8,FALSE),)</f>
        <v>KRW</v>
      </c>
      <c r="K17" s="29">
        <f>IFERROR(VLOOKUP($B17,자재리스트!$B$4:$M$92,9,FALSE),)</f>
        <v>4300000</v>
      </c>
      <c r="L17" s="29">
        <f t="shared" si="0"/>
        <v>4300000</v>
      </c>
      <c r="M17" s="27" t="str">
        <f>IFERROR(VLOOKUP($B17,자재리스트!$B$4:$M$92,10,FALSE),)</f>
        <v>MRC</v>
      </c>
      <c r="N17" s="27" t="str">
        <f>IFERROR(VLOOKUP($B17,자재리스트!$B$4:$M$92,11,FALSE),)</f>
        <v>거래명세서</v>
      </c>
      <c r="O17" s="27" t="str">
        <f>IFERROR(VLOOKUP($B17,자재리스트!$B$4:$M$92,12,FALSE),)</f>
        <v xml:space="preserve"> - </v>
      </c>
    </row>
    <row r="18" spans="1:15" ht="25.25" customHeight="1" x14ac:dyDescent="0.45">
      <c r="A18" s="26">
        <v>8</v>
      </c>
      <c r="B18" s="27" t="s">
        <v>70</v>
      </c>
      <c r="C18" s="28" t="str">
        <f>IFERROR(VLOOKUP($B18,자재리스트!$B$4:$M$92,2,FALSE),)</f>
        <v>NAS junction box</v>
      </c>
      <c r="D18" s="27"/>
      <c r="E18" s="27" t="str">
        <f>IFERROR(VLOOKUP($B18,자재리스트!$B$4:$M$92,4,FALSE),)</f>
        <v>정션박스</v>
      </c>
      <c r="F18" s="27" t="str">
        <f>IFERROR(VLOOKUP($B18,자재리스트!$B$4:$M$92,5,FALSE),)</f>
        <v xml:space="preserve"> - </v>
      </c>
      <c r="G18" s="27" t="str">
        <f>IFERROR(VLOOKUP($B18,자재리스트!$B$4:$M$92,6,FALSE),)</f>
        <v>한국</v>
      </c>
      <c r="H18" s="27" t="str">
        <f>IFERROR(VLOOKUP($B18,자재리스트!$B$4:$M$92,7,FALSE),)</f>
        <v>개</v>
      </c>
      <c r="I18" s="29">
        <v>1</v>
      </c>
      <c r="J18" s="29" t="str">
        <f>IFERROR(VLOOKUP($B18,자재리스트!$B$4:$M$92,8,FALSE),)</f>
        <v>KRW</v>
      </c>
      <c r="K18" s="29">
        <f>IFERROR(VLOOKUP($B18,자재리스트!$B$4:$M$92,9,FALSE),)</f>
        <v>1000000</v>
      </c>
      <c r="L18" s="29">
        <f t="shared" si="0"/>
        <v>1000000</v>
      </c>
      <c r="M18" s="27" t="str">
        <f>IFERROR(VLOOKUP($B18,자재리스트!$B$4:$M$92,10,FALSE),)</f>
        <v>MRC</v>
      </c>
      <c r="N18" s="27" t="str">
        <f>IFERROR(VLOOKUP($B18,자재리스트!$B$4:$M$92,11,FALSE),)</f>
        <v>거래명세서</v>
      </c>
      <c r="O18" s="27" t="str">
        <f>IFERROR(VLOOKUP($B18,자재리스트!$B$4:$M$92,12,FALSE),)</f>
        <v xml:space="preserve"> - </v>
      </c>
    </row>
    <row r="19" spans="1:15" ht="25.25" customHeight="1" x14ac:dyDescent="0.45">
      <c r="A19" s="26">
        <v>9</v>
      </c>
      <c r="B19" s="27" t="s">
        <v>89</v>
      </c>
      <c r="C19" s="28" t="str">
        <f>IFERROR(VLOOKUP($B19,자재리스트!$B$4:$M$92,2,FALSE),)</f>
        <v>Network switch</v>
      </c>
      <c r="D19" s="27"/>
      <c r="E19" s="27" t="str">
        <f>IFERROR(VLOOKUP($B19,자재리스트!$B$4:$M$92,4,FALSE),)</f>
        <v>허브 (선급인증품)</v>
      </c>
      <c r="F19" s="27" t="str">
        <f>IFERROR(VLOOKUP($B19,자재리스트!$B$4:$M$92,5,FALSE),)</f>
        <v xml:space="preserve"> - </v>
      </c>
      <c r="G19" s="27" t="str">
        <f>IFERROR(VLOOKUP($B19,자재리스트!$B$4:$M$92,6,FALSE),)</f>
        <v>한국</v>
      </c>
      <c r="H19" s="27" t="str">
        <f>IFERROR(VLOOKUP($B19,자재리스트!$B$4:$M$92,7,FALSE),)</f>
        <v>개</v>
      </c>
      <c r="I19" s="29">
        <v>2</v>
      </c>
      <c r="J19" s="29" t="str">
        <f>IFERROR(VLOOKUP($B19,자재리스트!$B$4:$M$92,8,FALSE),)</f>
        <v>KRW</v>
      </c>
      <c r="K19" s="29">
        <f>IFERROR(VLOOKUP($B19,자재리스트!$B$4:$M$92,9,FALSE),)</f>
        <v>1596000</v>
      </c>
      <c r="L19" s="29">
        <f t="shared" si="0"/>
        <v>3192000</v>
      </c>
      <c r="M19" s="27" t="str">
        <f>IFERROR(VLOOKUP($B19,자재리스트!$B$4:$M$92,10,FALSE),)</f>
        <v>여의시스템</v>
      </c>
      <c r="N19" s="27" t="str">
        <f>IFERROR(VLOOKUP($B19,자재리스트!$B$4:$M$92,11,FALSE),)</f>
        <v>거래명세서</v>
      </c>
      <c r="O19" s="27" t="str">
        <f>IFERROR(VLOOKUP($B19,자재리스트!$B$4:$M$92,12,FALSE),)</f>
        <v xml:space="preserve"> - </v>
      </c>
    </row>
    <row r="20" spans="1:15" ht="25.25" customHeight="1" x14ac:dyDescent="0.45">
      <c r="A20" s="26">
        <v>10</v>
      </c>
      <c r="B20" s="27" t="s">
        <v>82</v>
      </c>
      <c r="C20" s="28" t="str">
        <f>IFERROR(VLOOKUP($B20,자재리스트!$B$4:$M$92,2,FALSE),)</f>
        <v>Firewall</v>
      </c>
      <c r="D20" s="27"/>
      <c r="E20" s="27" t="str">
        <f>IFERROR(VLOOKUP($B20,자재리스트!$B$4:$M$92,4,FALSE),)</f>
        <v>방화벽 (선급인증품)</v>
      </c>
      <c r="F20" s="27" t="str">
        <f>IFERROR(VLOOKUP($B20,자재리스트!$B$4:$M$92,5,FALSE),)</f>
        <v xml:space="preserve"> - </v>
      </c>
      <c r="G20" s="27" t="str">
        <f>IFERROR(VLOOKUP($B20,자재리스트!$B$4:$M$92,6,FALSE),)</f>
        <v>한국</v>
      </c>
      <c r="H20" s="27" t="str">
        <f>IFERROR(VLOOKUP($B20,자재리스트!$B$4:$M$92,7,FALSE),)</f>
        <v>개</v>
      </c>
      <c r="I20" s="29">
        <v>1</v>
      </c>
      <c r="J20" s="29" t="str">
        <f>IFERROR(VLOOKUP($B20,자재리스트!$B$4:$M$92,8,FALSE),)</f>
        <v>KRW</v>
      </c>
      <c r="K20" s="29">
        <f>IFERROR(VLOOKUP($B20,자재리스트!$B$4:$M$92,9,FALSE),)</f>
        <v>3800000</v>
      </c>
      <c r="L20" s="29">
        <f t="shared" si="0"/>
        <v>3800000</v>
      </c>
      <c r="M20" s="27" t="str">
        <f>IFERROR(VLOOKUP($B20,자재리스트!$B$4:$M$92,10,FALSE),)</f>
        <v>MRC</v>
      </c>
      <c r="N20" s="27" t="str">
        <f>IFERROR(VLOOKUP($B20,자재리스트!$B$4:$M$92,11,FALSE),)</f>
        <v>거래명세서</v>
      </c>
      <c r="O20" s="27" t="str">
        <f>IFERROR(VLOOKUP($B20,자재리스트!$B$4:$M$92,12,FALSE),)</f>
        <v xml:space="preserve"> - </v>
      </c>
    </row>
    <row r="21" spans="1:15" ht="25.25" customHeight="1" x14ac:dyDescent="0.45">
      <c r="A21" s="26">
        <v>11</v>
      </c>
      <c r="B21" s="41" t="s">
        <v>90</v>
      </c>
      <c r="C21" s="28" t="str">
        <f>IFERROR(VLOOKUP($B21,자재리스트!$B$4:$M$92,2,FALSE),)</f>
        <v>Serial to Ethernet</v>
      </c>
      <c r="D21" s="27"/>
      <c r="E21" s="27" t="str">
        <f>IFERROR(VLOOKUP($B21,자재리스트!$B$4:$M$92,4,FALSE),)</f>
        <v>시리얼 통신을 LAN으로 변환</v>
      </c>
      <c r="F21" s="27" t="str">
        <f>IFERROR(VLOOKUP($B21,자재리스트!$B$4:$M$92,5,FALSE),)</f>
        <v xml:space="preserve"> - </v>
      </c>
      <c r="G21" s="27" t="str">
        <f>IFERROR(VLOOKUP($B21,자재리스트!$B$4:$M$92,6,FALSE),)</f>
        <v>한국</v>
      </c>
      <c r="H21" s="27" t="str">
        <f>IFERROR(VLOOKUP($B21,자재리스트!$B$4:$M$92,7,FALSE),)</f>
        <v>개</v>
      </c>
      <c r="I21" s="29">
        <v>1</v>
      </c>
      <c r="J21" s="29" t="str">
        <f>IFERROR(VLOOKUP($B21,자재리스트!$B$4:$M$92,8,FALSE),)</f>
        <v>KRW</v>
      </c>
      <c r="K21" s="29">
        <f>IFERROR(VLOOKUP($B21,자재리스트!$B$4:$M$92,9,FALSE),)</f>
        <v>780000</v>
      </c>
      <c r="L21" s="29">
        <f t="shared" si="0"/>
        <v>780000</v>
      </c>
      <c r="M21" s="27" t="str">
        <f>IFERROR(VLOOKUP($B21,자재리스트!$B$4:$M$92,10,FALSE),)</f>
        <v>여의시스템</v>
      </c>
      <c r="N21" s="27" t="str">
        <f>IFERROR(VLOOKUP($B21,자재리스트!$B$4:$M$92,11,FALSE),)</f>
        <v>거래명세서</v>
      </c>
      <c r="O21" s="27" t="str">
        <f>IFERROR(VLOOKUP($B21,자재리스트!$B$4:$M$92,12,FALSE),)</f>
        <v xml:space="preserve"> - </v>
      </c>
    </row>
    <row r="22" spans="1:15" ht="25.25" customHeight="1" x14ac:dyDescent="0.45">
      <c r="A22" s="26">
        <v>12</v>
      </c>
      <c r="B22" s="27" t="s">
        <v>92</v>
      </c>
      <c r="C22" s="28" t="str">
        <f>IFERROR(VLOOKUP($B22,자재리스트!$B$4:$M$92,2,FALSE),)</f>
        <v>Selector Switch</v>
      </c>
      <c r="D22" s="27"/>
      <c r="E22" s="27" t="str">
        <f>IFERROR(VLOOKUP($B22,자재리스트!$B$4:$M$92,4,FALSE),)</f>
        <v>HiNAS control 선택 스위치</v>
      </c>
      <c r="F22" s="27" t="str">
        <f>IFERROR(VLOOKUP($B22,자재리스트!$B$4:$M$92,5,FALSE),)</f>
        <v xml:space="preserve"> - </v>
      </c>
      <c r="G22" s="27" t="str">
        <f>IFERROR(VLOOKUP($B22,자재리스트!$B$4:$M$92,6,FALSE),)</f>
        <v>한국</v>
      </c>
      <c r="H22" s="27" t="str">
        <f>IFERROR(VLOOKUP($B22,자재리스트!$B$4:$M$92,7,FALSE),)</f>
        <v>개</v>
      </c>
      <c r="I22" s="29">
        <v>1</v>
      </c>
      <c r="J22" s="29" t="str">
        <f>IFERROR(VLOOKUP($B22,자재리스트!$B$4:$M$92,8,FALSE),)</f>
        <v>USD</v>
      </c>
      <c r="K22" s="29">
        <f>IFERROR(VLOOKUP($B22,자재리스트!$B$4:$M$92,9,FALSE),)</f>
        <v>1330</v>
      </c>
      <c r="L22" s="29">
        <f t="shared" si="0"/>
        <v>1330</v>
      </c>
      <c r="M22" s="27" t="str">
        <f>IFERROR(VLOOKUP($B22,자재리스트!$B$4:$M$92,10,FALSE),)</f>
        <v>MRC/YDK</v>
      </c>
      <c r="N22" s="27" t="str">
        <f>IFERROR(VLOOKUP($B22,자재리스트!$B$4:$M$92,11,FALSE),)</f>
        <v>거래명세서</v>
      </c>
      <c r="O22" s="27" t="str">
        <f>IFERROR(VLOOKUP($B22,자재리스트!$B$4:$M$92,12,FALSE),)</f>
        <v>YOKOGAWA (w. DIMMER BOX)</v>
      </c>
    </row>
    <row r="23" spans="1:15" ht="25.25" customHeight="1" x14ac:dyDescent="0.45">
      <c r="A23" s="26">
        <v>13</v>
      </c>
      <c r="B23" s="41" t="s">
        <v>75</v>
      </c>
      <c r="C23" s="28" t="str">
        <f>IFERROR(VLOOKUP($B23,자재리스트!$B$4:$M$92,2,FALSE),)</f>
        <v>UPS</v>
      </c>
      <c r="D23" s="27"/>
      <c r="E23" s="27" t="str">
        <f>IFERROR(VLOOKUP($B23,자재리스트!$B$4:$M$92,4,FALSE),)</f>
        <v>1kVA, 무정전 전원 공급, Stand type</v>
      </c>
      <c r="F23" s="27" t="str">
        <f>IFERROR(VLOOKUP($B23,자재리스트!$B$4:$M$92,5,FALSE),)</f>
        <v xml:space="preserve"> - </v>
      </c>
      <c r="G23" s="27" t="str">
        <f>IFERROR(VLOOKUP($B23,자재리스트!$B$4:$M$92,6,FALSE),)</f>
        <v>한국</v>
      </c>
      <c r="H23" s="27" t="str">
        <f>IFERROR(VLOOKUP($B23,자재리스트!$B$4:$M$92,7,FALSE),)</f>
        <v>개</v>
      </c>
      <c r="I23" s="29">
        <v>1</v>
      </c>
      <c r="J23" s="29" t="str">
        <f>IFERROR(VLOOKUP($B23,자재리스트!$B$4:$M$92,8,FALSE),)</f>
        <v>KRW</v>
      </c>
      <c r="K23" s="29">
        <f>IFERROR(VLOOKUP($B23,자재리스트!$B$4:$M$92,9,FALSE),)</f>
        <v>1325500</v>
      </c>
      <c r="L23" s="29">
        <f t="shared" si="0"/>
        <v>1325500</v>
      </c>
      <c r="M23" s="27" t="str">
        <f>IFERROR(VLOOKUP($B23,자재리스트!$B$4:$M$92,10,FALSE),)</f>
        <v>기호티이에스</v>
      </c>
      <c r="N23" s="27" t="str">
        <f>IFERROR(VLOOKUP($B23,자재리스트!$B$4:$M$92,11,FALSE),)</f>
        <v>거래명세서</v>
      </c>
      <c r="O23" s="27" t="str">
        <f>IFERROR(VLOOKUP($B23,자재리스트!$B$4:$M$92,12,FALSE),)</f>
        <v>마린필터, network card, 케이블 포함</v>
      </c>
    </row>
    <row r="24" spans="1:15" ht="25.25" customHeight="1" x14ac:dyDescent="0.45">
      <c r="A24" s="26">
        <v>14</v>
      </c>
      <c r="B24" s="41" t="s">
        <v>121</v>
      </c>
      <c r="C24" s="28" t="str">
        <f>IFERROR(VLOOKUP($B24,자재리스트!$B$4:$M$92,2,FALSE),)</f>
        <v>keyboard &amp; mouse</v>
      </c>
      <c r="D24" s="27"/>
      <c r="E24" s="27" t="str">
        <f>IFERROR(VLOOKUP($B24,자재리스트!$B$4:$M$92,4,FALSE),)</f>
        <v>입력기기</v>
      </c>
      <c r="F24" s="27" t="str">
        <f>IFERROR(VLOOKUP($B24,자재리스트!$B$4:$M$92,5,FALSE),)</f>
        <v xml:space="preserve"> - </v>
      </c>
      <c r="G24" s="27" t="str">
        <f>IFERROR(VLOOKUP($B24,자재리스트!$B$4:$M$92,6,FALSE),)</f>
        <v>한국</v>
      </c>
      <c r="H24" s="27" t="str">
        <f>IFERROR(VLOOKUP($B24,자재리스트!$B$4:$M$92,7,FALSE),)</f>
        <v>세트</v>
      </c>
      <c r="I24" s="29">
        <v>1</v>
      </c>
      <c r="J24" s="29" t="str">
        <f>IFERROR(VLOOKUP($B24,자재리스트!$B$4:$M$92,8,FALSE),)</f>
        <v>KRW</v>
      </c>
      <c r="K24" s="29">
        <f>IFERROR(VLOOKUP($B24,자재리스트!$B$4:$M$92,9,FALSE),)</f>
        <v>50000</v>
      </c>
      <c r="L24" s="29">
        <f t="shared" si="0"/>
        <v>50000</v>
      </c>
      <c r="M24" s="27" t="str">
        <f>IFERROR(VLOOKUP($B24,자재리스트!$B$4:$M$92,10,FALSE),)</f>
        <v>MRC</v>
      </c>
      <c r="N24" s="27" t="str">
        <f>IFERROR(VLOOKUP($B24,자재리스트!$B$4:$M$92,11,FALSE),)</f>
        <v>거래명세서</v>
      </c>
      <c r="O24" s="27" t="str">
        <f>IFERROR(VLOOKUP($B24,자재리스트!$B$4:$M$92,12,FALSE),)</f>
        <v xml:space="preserve"> - </v>
      </c>
    </row>
    <row r="25" spans="1:15" ht="25.25" customHeight="1" x14ac:dyDescent="0.45">
      <c r="A25" s="26">
        <v>15</v>
      </c>
      <c r="B25" s="41" t="s">
        <v>116</v>
      </c>
      <c r="C25" s="28" t="str">
        <f>IFERROR(VLOOKUP($B25,자재리스트!$B$4:$M$92,2,FALSE),)</f>
        <v>AP</v>
      </c>
      <c r="D25" s="27"/>
      <c r="E25" s="27" t="str">
        <f>IFERROR(VLOOKUP($B25,자재리스트!$B$4:$M$92,4,FALSE),)</f>
        <v>무선 공유기</v>
      </c>
      <c r="F25" s="27" t="str">
        <f>IFERROR(VLOOKUP($B25,자재리스트!$B$4:$M$92,5,FALSE),)</f>
        <v xml:space="preserve"> - </v>
      </c>
      <c r="G25" s="27" t="str">
        <f>IFERROR(VLOOKUP($B25,자재리스트!$B$4:$M$92,6,FALSE),)</f>
        <v>한국</v>
      </c>
      <c r="H25" s="27" t="str">
        <f>IFERROR(VLOOKUP($B25,자재리스트!$B$4:$M$92,7,FALSE),)</f>
        <v>개</v>
      </c>
      <c r="I25" s="29">
        <v>1</v>
      </c>
      <c r="J25" s="29" t="str">
        <f>IFERROR(VLOOKUP($B25,자재리스트!$B$4:$M$92,8,FALSE),)</f>
        <v>KRW</v>
      </c>
      <c r="K25" s="29">
        <f>IFERROR(VLOOKUP($B25,자재리스트!$B$4:$M$92,9,FALSE),)</f>
        <v>72000</v>
      </c>
      <c r="L25" s="29">
        <f t="shared" si="0"/>
        <v>72000</v>
      </c>
      <c r="M25" s="27" t="str">
        <f>IFERROR(VLOOKUP($B25,자재리스트!$B$4:$M$92,10,FALSE),)</f>
        <v>쿠팡</v>
      </c>
      <c r="N25" s="27" t="str">
        <f>IFERROR(VLOOKUP($B25,자재리스트!$B$4:$M$92,11,FALSE),)</f>
        <v>거래명세서</v>
      </c>
      <c r="O25" s="27" t="str">
        <f>IFERROR(VLOOKUP($B25,자재리스트!$B$4:$M$92,12,FALSE),)</f>
        <v xml:space="preserve"> - </v>
      </c>
    </row>
    <row r="26" spans="1:15" ht="25.25" customHeight="1" x14ac:dyDescent="0.45">
      <c r="A26" s="26">
        <v>16</v>
      </c>
      <c r="B26" s="41" t="s">
        <v>117</v>
      </c>
      <c r="C26" s="28" t="str">
        <f>IFERROR(VLOOKUP($B26,자재리스트!$B$4:$M$92,2,FALSE),)</f>
        <v>Tablet PC</v>
      </c>
      <c r="D26" s="27"/>
      <c r="E26" s="27" t="str">
        <f>IFERROR(VLOOKUP($B26,자재리스트!$B$4:$M$92,4,FALSE),)</f>
        <v>Portable 모니터</v>
      </c>
      <c r="F26" s="27" t="str">
        <f>IFERROR(VLOOKUP($B26,자재리스트!$B$4:$M$92,5,FALSE),)</f>
        <v xml:space="preserve"> - </v>
      </c>
      <c r="G26" s="27" t="str">
        <f>IFERROR(VLOOKUP($B26,자재리스트!$B$4:$M$92,6,FALSE),)</f>
        <v>한국</v>
      </c>
      <c r="H26" s="27" t="str">
        <f>IFERROR(VLOOKUP($B26,자재리스트!$B$4:$M$92,7,FALSE),)</f>
        <v>개</v>
      </c>
      <c r="I26" s="29">
        <v>1</v>
      </c>
      <c r="J26" s="29" t="str">
        <f>IFERROR(VLOOKUP($B26,자재리스트!$B$4:$M$92,8,FALSE),)</f>
        <v>KRW</v>
      </c>
      <c r="K26" s="29">
        <f>IFERROR(VLOOKUP($B26,자재리스트!$B$4:$M$92,9,FALSE),)</f>
        <v>650000</v>
      </c>
      <c r="L26" s="29">
        <f t="shared" si="0"/>
        <v>650000</v>
      </c>
      <c r="M26" s="27" t="str">
        <f>IFERROR(VLOOKUP($B26,자재리스트!$B$4:$M$92,10,FALSE),)</f>
        <v>컴퓨존</v>
      </c>
      <c r="N26" s="27" t="str">
        <f>IFERROR(VLOOKUP($B26,자재리스트!$B$4:$M$92,11,FALSE),)</f>
        <v>거래명세서</v>
      </c>
      <c r="O26" s="27" t="str">
        <f>IFERROR(VLOOKUP($B26,자재리스트!$B$4:$M$92,12,FALSE),)</f>
        <v>COVER CASE, POWER ADAPTER 포함</v>
      </c>
    </row>
    <row r="27" spans="1:15" ht="24.75" customHeight="1" x14ac:dyDescent="0.45">
      <c r="A27" s="17"/>
      <c r="B27" s="31"/>
      <c r="C27" s="32"/>
      <c r="D27" s="31"/>
      <c r="E27" s="31"/>
      <c r="F27" s="31"/>
      <c r="G27" s="31"/>
      <c r="H27" s="31"/>
      <c r="I27" s="33"/>
      <c r="J27" s="33"/>
      <c r="K27" s="33"/>
      <c r="L27" s="33"/>
      <c r="M27" s="31"/>
      <c r="N27" s="31"/>
      <c r="O27" s="31"/>
    </row>
    <row r="28" spans="1:15" ht="17.5" x14ac:dyDescent="0.45">
      <c r="C28" s="120" t="s">
        <v>78</v>
      </c>
      <c r="D28" s="120"/>
      <c r="E28" s="120"/>
      <c r="F28" s="120"/>
      <c r="G28" s="120"/>
      <c r="H28" s="120"/>
      <c r="I28" s="120"/>
      <c r="J28" s="120"/>
      <c r="K28" s="120"/>
      <c r="L28" s="120"/>
      <c r="M28" s="120"/>
      <c r="N28" s="120"/>
      <c r="O28" s="120"/>
    </row>
    <row r="29" spans="1:15" ht="17.5" x14ac:dyDescent="0.45">
      <c r="C29" s="120" t="s">
        <v>79</v>
      </c>
      <c r="D29" s="120"/>
      <c r="E29" s="120"/>
      <c r="F29" s="120"/>
      <c r="G29" s="120"/>
      <c r="H29" s="120"/>
      <c r="I29" s="120"/>
      <c r="J29" s="120"/>
      <c r="K29" s="120"/>
      <c r="L29" s="120"/>
      <c r="M29" s="120"/>
      <c r="N29" s="120"/>
      <c r="O29" s="120"/>
    </row>
  </sheetData>
  <mergeCells count="4">
    <mergeCell ref="A2:O2"/>
    <mergeCell ref="C10:D10"/>
    <mergeCell ref="C28:O28"/>
    <mergeCell ref="C29:O29"/>
  </mergeCells>
  <phoneticPr fontId="3" type="noConversion"/>
  <printOptions horizontalCentered="1"/>
  <pageMargins left="0.70866141732283472" right="0.70866141732283472" top="0.74803149606299213" bottom="0.74803149606299213" header="0.31496062992125984" footer="0.31496062992125984"/>
  <pageSetup paperSize="9" scale="70" fitToHeight="0" orientation="landscape" r:id="rId1"/>
  <headerFooter>
    <oddFooter>&amp;L_x000D_&amp;1#&amp;"Calibri"&amp;9&amp;K000000 Confidential | AVIKUS – Unauthorized distribution is strictly prohibited</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5408C-DC25-49F6-AA31-B221275559D3}">
  <sheetPr>
    <pageSetUpPr fitToPage="1"/>
  </sheetPr>
  <dimension ref="B1:Y94"/>
  <sheetViews>
    <sheetView showGridLines="0" zoomScaleNormal="100" workbookViewId="0">
      <selection activeCell="J20" sqref="J20"/>
    </sheetView>
  </sheetViews>
  <sheetFormatPr defaultRowHeight="17" x14ac:dyDescent="0.45"/>
  <cols>
    <col min="1" max="1" width="1.6640625" style="2" customWidth="1"/>
    <col min="2" max="2" width="12.4140625" style="49" customWidth="1"/>
    <col min="3" max="4" width="21.5" style="48" customWidth="1"/>
    <col min="5" max="5" width="29.08203125" style="49" customWidth="1"/>
    <col min="6" max="6" width="12.1640625" style="49" customWidth="1"/>
    <col min="7" max="8" width="8.6640625" style="49"/>
    <col min="9" max="9" width="7.1640625" style="49" customWidth="1"/>
    <col min="10" max="10" width="8.6640625" style="49"/>
    <col min="11" max="11" width="12.9140625" style="48" customWidth="1"/>
    <col min="12" max="12" width="13.9140625" style="49" customWidth="1"/>
    <col min="13" max="13" width="39.9140625" style="50" customWidth="1"/>
    <col min="14" max="14" width="28.5" style="50" customWidth="1"/>
    <col min="15" max="16" width="8.6640625" style="2"/>
    <col min="17" max="25" width="6.5" style="2" customWidth="1"/>
    <col min="26" max="16384" width="8.6640625" style="2"/>
  </cols>
  <sheetData>
    <row r="1" spans="2:25" ht="26" x14ac:dyDescent="0.45">
      <c r="B1" s="47" t="s">
        <v>122</v>
      </c>
    </row>
    <row r="2" spans="2:25" x14ac:dyDescent="0.45">
      <c r="Q2" s="51" t="s">
        <v>48</v>
      </c>
    </row>
    <row r="3" spans="2:25" ht="34" x14ac:dyDescent="0.45">
      <c r="B3" s="52" t="s">
        <v>48</v>
      </c>
      <c r="C3" s="52" t="s">
        <v>49</v>
      </c>
      <c r="D3" s="52" t="s">
        <v>123</v>
      </c>
      <c r="E3" s="52" t="s">
        <v>50</v>
      </c>
      <c r="F3" s="53" t="s">
        <v>51</v>
      </c>
      <c r="G3" s="53" t="s">
        <v>52</v>
      </c>
      <c r="H3" s="53" t="s">
        <v>53</v>
      </c>
      <c r="I3" s="53" t="s">
        <v>55</v>
      </c>
      <c r="J3" s="53" t="s">
        <v>56</v>
      </c>
      <c r="K3" s="53" t="s">
        <v>59</v>
      </c>
      <c r="L3" s="52" t="s">
        <v>61</v>
      </c>
      <c r="M3" s="53" t="s">
        <v>124</v>
      </c>
      <c r="N3" s="53" t="s">
        <v>125</v>
      </c>
      <c r="Q3" s="4"/>
      <c r="R3" s="4"/>
      <c r="S3" s="4"/>
      <c r="T3" s="4"/>
      <c r="U3" s="4"/>
      <c r="V3" s="4"/>
      <c r="W3" s="5" t="s">
        <v>126</v>
      </c>
      <c r="X3" s="4"/>
      <c r="Y3" s="4"/>
    </row>
    <row r="4" spans="2:25" x14ac:dyDescent="0.45">
      <c r="B4" s="54" t="s">
        <v>63</v>
      </c>
      <c r="C4" s="54" t="s">
        <v>127</v>
      </c>
      <c r="D4" s="54" t="s">
        <v>128</v>
      </c>
      <c r="E4" s="55" t="s">
        <v>129</v>
      </c>
      <c r="F4" s="54" t="s">
        <v>130</v>
      </c>
      <c r="G4" s="54" t="s">
        <v>131</v>
      </c>
      <c r="H4" s="54" t="s">
        <v>132</v>
      </c>
      <c r="I4" s="54" t="s">
        <v>133</v>
      </c>
      <c r="J4" s="56">
        <f>2520000+300000+200000</f>
        <v>3020000</v>
      </c>
      <c r="K4" s="57" t="s">
        <v>134</v>
      </c>
      <c r="L4" s="58" t="s">
        <v>135</v>
      </c>
      <c r="M4" s="59" t="s">
        <v>136</v>
      </c>
      <c r="N4" s="59" t="s">
        <v>137</v>
      </c>
      <c r="Q4" s="60" t="s">
        <v>138</v>
      </c>
      <c r="R4" s="60" t="s">
        <v>139</v>
      </c>
      <c r="S4" s="123" t="s">
        <v>140</v>
      </c>
      <c r="T4" s="124"/>
      <c r="U4" s="124"/>
      <c r="V4" s="125"/>
      <c r="X4" s="126" t="s">
        <v>141</v>
      </c>
      <c r="Y4" s="127"/>
    </row>
    <row r="5" spans="2:25" x14ac:dyDescent="0.45">
      <c r="B5" s="54" t="s">
        <v>142</v>
      </c>
      <c r="C5" s="54" t="s">
        <v>127</v>
      </c>
      <c r="D5" s="54" t="s">
        <v>143</v>
      </c>
      <c r="E5" s="59" t="s">
        <v>144</v>
      </c>
      <c r="F5" s="54" t="s">
        <v>130</v>
      </c>
      <c r="G5" s="54" t="s">
        <v>131</v>
      </c>
      <c r="H5" s="54" t="s">
        <v>132</v>
      </c>
      <c r="I5" s="54" t="s">
        <v>133</v>
      </c>
      <c r="J5" s="56">
        <f>5860000+530000+150000</f>
        <v>6540000</v>
      </c>
      <c r="K5" s="57" t="s">
        <v>134</v>
      </c>
      <c r="L5" s="58" t="s">
        <v>135</v>
      </c>
      <c r="M5" s="59" t="s">
        <v>136</v>
      </c>
      <c r="N5" s="59" t="s">
        <v>145</v>
      </c>
    </row>
    <row r="6" spans="2:25" x14ac:dyDescent="0.45">
      <c r="B6" s="54" t="s">
        <v>85</v>
      </c>
      <c r="C6" s="54" t="s">
        <v>127</v>
      </c>
      <c r="D6" s="54" t="s">
        <v>146</v>
      </c>
      <c r="E6" s="55" t="s">
        <v>147</v>
      </c>
      <c r="F6" s="54" t="s">
        <v>130</v>
      </c>
      <c r="G6" s="54" t="s">
        <v>131</v>
      </c>
      <c r="H6" s="54" t="s">
        <v>132</v>
      </c>
      <c r="I6" s="54" t="s">
        <v>133</v>
      </c>
      <c r="J6" s="56">
        <f>3950000+530000</f>
        <v>4480000</v>
      </c>
      <c r="K6" s="57" t="s">
        <v>134</v>
      </c>
      <c r="L6" s="58" t="s">
        <v>135</v>
      </c>
      <c r="M6" s="59" t="s">
        <v>136</v>
      </c>
      <c r="N6" s="59" t="s">
        <v>148</v>
      </c>
      <c r="Q6" s="61" t="s">
        <v>149</v>
      </c>
      <c r="R6" s="61"/>
      <c r="S6" s="61"/>
    </row>
    <row r="7" spans="2:25" x14ac:dyDescent="0.45">
      <c r="B7" s="54" t="s">
        <v>150</v>
      </c>
      <c r="C7" s="54" t="s">
        <v>127</v>
      </c>
      <c r="D7" s="54" t="s">
        <v>151</v>
      </c>
      <c r="E7" s="59" t="s">
        <v>152</v>
      </c>
      <c r="F7" s="54" t="s">
        <v>130</v>
      </c>
      <c r="G7" s="54" t="s">
        <v>131</v>
      </c>
      <c r="H7" s="54" t="s">
        <v>132</v>
      </c>
      <c r="I7" s="54" t="s">
        <v>133</v>
      </c>
      <c r="J7" s="56">
        <f>5260000+550000</f>
        <v>5810000</v>
      </c>
      <c r="K7" s="57" t="s">
        <v>134</v>
      </c>
      <c r="L7" s="58" t="s">
        <v>135</v>
      </c>
      <c r="M7" s="59" t="s">
        <v>136</v>
      </c>
      <c r="N7" s="59" t="s">
        <v>153</v>
      </c>
      <c r="Q7" s="62" t="s">
        <v>154</v>
      </c>
      <c r="R7" s="61" t="s">
        <v>155</v>
      </c>
      <c r="S7" s="61"/>
    </row>
    <row r="8" spans="2:25" x14ac:dyDescent="0.45">
      <c r="B8" s="54" t="s">
        <v>117</v>
      </c>
      <c r="C8" s="54" t="s">
        <v>156</v>
      </c>
      <c r="D8" s="54" t="s">
        <v>157</v>
      </c>
      <c r="E8" s="59" t="s">
        <v>158</v>
      </c>
      <c r="F8" s="54" t="s">
        <v>130</v>
      </c>
      <c r="G8" s="54" t="s">
        <v>131</v>
      </c>
      <c r="H8" s="54" t="s">
        <v>132</v>
      </c>
      <c r="I8" s="54" t="s">
        <v>133</v>
      </c>
      <c r="J8" s="56">
        <v>650000</v>
      </c>
      <c r="K8" s="57" t="s">
        <v>159</v>
      </c>
      <c r="L8" s="58" t="s">
        <v>135</v>
      </c>
      <c r="M8" s="59" t="s">
        <v>160</v>
      </c>
      <c r="N8" s="59" t="s">
        <v>161</v>
      </c>
      <c r="Q8" s="62" t="s">
        <v>162</v>
      </c>
      <c r="R8" s="61" t="s">
        <v>163</v>
      </c>
      <c r="S8" s="61"/>
    </row>
    <row r="9" spans="2:25" x14ac:dyDescent="0.45">
      <c r="B9" s="54" t="s">
        <v>164</v>
      </c>
      <c r="C9" s="54" t="s">
        <v>165</v>
      </c>
      <c r="D9" s="54" t="s">
        <v>166</v>
      </c>
      <c r="E9" s="55" t="s">
        <v>167</v>
      </c>
      <c r="F9" s="54" t="s">
        <v>130</v>
      </c>
      <c r="G9" s="54" t="s">
        <v>131</v>
      </c>
      <c r="H9" s="54" t="s">
        <v>132</v>
      </c>
      <c r="I9" s="54" t="s">
        <v>133</v>
      </c>
      <c r="J9" s="63">
        <v>530000</v>
      </c>
      <c r="K9" s="57" t="s">
        <v>134</v>
      </c>
      <c r="L9" s="58" t="s">
        <v>135</v>
      </c>
      <c r="M9" s="59" t="s">
        <v>168</v>
      </c>
      <c r="N9" s="59" t="s">
        <v>169</v>
      </c>
      <c r="Q9" s="62" t="s">
        <v>170</v>
      </c>
      <c r="R9" s="61" t="s">
        <v>171</v>
      </c>
      <c r="S9" s="61"/>
    </row>
    <row r="10" spans="2:25" x14ac:dyDescent="0.45">
      <c r="B10" s="54" t="s">
        <v>172</v>
      </c>
      <c r="C10" s="54" t="s">
        <v>165</v>
      </c>
      <c r="D10" s="54" t="s">
        <v>173</v>
      </c>
      <c r="E10" s="55" t="s">
        <v>174</v>
      </c>
      <c r="F10" s="54" t="s">
        <v>130</v>
      </c>
      <c r="G10" s="54" t="s">
        <v>131</v>
      </c>
      <c r="H10" s="54" t="s">
        <v>132</v>
      </c>
      <c r="I10" s="54" t="s">
        <v>133</v>
      </c>
      <c r="J10" s="63">
        <v>530000</v>
      </c>
      <c r="K10" s="57" t="s">
        <v>134</v>
      </c>
      <c r="L10" s="58" t="s">
        <v>135</v>
      </c>
      <c r="M10" s="59" t="s">
        <v>175</v>
      </c>
      <c r="N10" s="59" t="s">
        <v>169</v>
      </c>
      <c r="Q10" s="61"/>
      <c r="R10" s="61"/>
      <c r="S10" s="61"/>
    </row>
    <row r="11" spans="2:25" x14ac:dyDescent="0.45">
      <c r="B11" s="54" t="s">
        <v>176</v>
      </c>
      <c r="C11" s="54" t="s">
        <v>127</v>
      </c>
      <c r="D11" s="54" t="s">
        <v>177</v>
      </c>
      <c r="E11" s="59" t="s">
        <v>178</v>
      </c>
      <c r="F11" s="54" t="s">
        <v>130</v>
      </c>
      <c r="G11" s="54" t="s">
        <v>131</v>
      </c>
      <c r="H11" s="54" t="s">
        <v>132</v>
      </c>
      <c r="I11" s="54" t="s">
        <v>133</v>
      </c>
      <c r="J11" s="56">
        <v>895000</v>
      </c>
      <c r="K11" s="57" t="s">
        <v>179</v>
      </c>
      <c r="L11" s="57" t="s">
        <v>135</v>
      </c>
      <c r="M11" s="64" t="s">
        <v>130</v>
      </c>
      <c r="N11" s="65" t="s">
        <v>130</v>
      </c>
      <c r="Q11" s="66" t="s">
        <v>180</v>
      </c>
      <c r="R11" s="61"/>
      <c r="S11" s="61"/>
    </row>
    <row r="12" spans="2:25" x14ac:dyDescent="0.45">
      <c r="B12" s="54" t="s">
        <v>181</v>
      </c>
      <c r="C12" s="54" t="s">
        <v>127</v>
      </c>
      <c r="D12" s="54" t="s">
        <v>182</v>
      </c>
      <c r="E12" s="59" t="s">
        <v>152</v>
      </c>
      <c r="F12" s="54" t="s">
        <v>130</v>
      </c>
      <c r="G12" s="54" t="s">
        <v>131</v>
      </c>
      <c r="H12" s="54" t="s">
        <v>132</v>
      </c>
      <c r="I12" s="54" t="s">
        <v>133</v>
      </c>
      <c r="J12" s="56">
        <v>5216000</v>
      </c>
      <c r="K12" s="57" t="s">
        <v>183</v>
      </c>
      <c r="L12" s="57" t="s">
        <v>184</v>
      </c>
      <c r="M12" s="64" t="s">
        <v>130</v>
      </c>
      <c r="N12" s="65" t="s">
        <v>130</v>
      </c>
      <c r="Q12" s="61" t="s">
        <v>185</v>
      </c>
      <c r="R12" s="61"/>
      <c r="S12" s="61"/>
      <c r="T12" s="2" t="s">
        <v>186</v>
      </c>
    </row>
    <row r="13" spans="2:25" x14ac:dyDescent="0.45">
      <c r="B13" s="67"/>
      <c r="C13" s="67"/>
      <c r="D13" s="67"/>
      <c r="E13" s="68"/>
      <c r="F13" s="67" t="s">
        <v>130</v>
      </c>
      <c r="G13" s="67"/>
      <c r="H13" s="67"/>
      <c r="I13" s="67"/>
      <c r="J13" s="69"/>
      <c r="K13" s="70"/>
      <c r="L13" s="70"/>
      <c r="M13" s="71"/>
      <c r="N13" s="71"/>
      <c r="Q13" s="2" t="s">
        <v>187</v>
      </c>
      <c r="R13" s="61"/>
      <c r="S13" s="61"/>
      <c r="T13" s="61" t="s">
        <v>188</v>
      </c>
    </row>
    <row r="14" spans="2:25" x14ac:dyDescent="0.45">
      <c r="B14" s="54" t="s">
        <v>189</v>
      </c>
      <c r="C14" s="54" t="s">
        <v>190</v>
      </c>
      <c r="D14" s="54" t="s">
        <v>191</v>
      </c>
      <c r="E14" s="59" t="s">
        <v>192</v>
      </c>
      <c r="F14" s="54" t="s">
        <v>130</v>
      </c>
      <c r="G14" s="54" t="s">
        <v>193</v>
      </c>
      <c r="H14" s="54" t="s">
        <v>132</v>
      </c>
      <c r="I14" s="54" t="s">
        <v>133</v>
      </c>
      <c r="J14" s="56">
        <v>3320000</v>
      </c>
      <c r="K14" s="58" t="s">
        <v>194</v>
      </c>
      <c r="L14" s="58" t="s">
        <v>135</v>
      </c>
      <c r="M14" s="65" t="s">
        <v>130</v>
      </c>
      <c r="N14" s="65" t="s">
        <v>195</v>
      </c>
      <c r="Q14" s="2" t="s">
        <v>196</v>
      </c>
      <c r="R14" s="61"/>
      <c r="S14" s="61"/>
      <c r="T14" s="61" t="s">
        <v>197</v>
      </c>
    </row>
    <row r="15" spans="2:25" x14ac:dyDescent="0.45">
      <c r="B15" s="54" t="s">
        <v>86</v>
      </c>
      <c r="C15" s="54" t="s">
        <v>198</v>
      </c>
      <c r="D15" s="54" t="s">
        <v>199</v>
      </c>
      <c r="E15" s="55" t="s">
        <v>200</v>
      </c>
      <c r="F15" s="54" t="s">
        <v>130</v>
      </c>
      <c r="G15" s="54" t="s">
        <v>193</v>
      </c>
      <c r="H15" s="54" t="s">
        <v>132</v>
      </c>
      <c r="I15" s="54" t="s">
        <v>133</v>
      </c>
      <c r="J15" s="56">
        <v>1820000</v>
      </c>
      <c r="K15" s="58" t="s">
        <v>194</v>
      </c>
      <c r="L15" s="58" t="s">
        <v>135</v>
      </c>
      <c r="M15" s="65" t="s">
        <v>130</v>
      </c>
      <c r="N15" s="65" t="s">
        <v>201</v>
      </c>
      <c r="Q15" s="61" t="s">
        <v>202</v>
      </c>
      <c r="R15" s="61"/>
      <c r="S15" s="61"/>
    </row>
    <row r="16" spans="2:25" x14ac:dyDescent="0.45">
      <c r="B16" s="54" t="s">
        <v>71</v>
      </c>
      <c r="C16" s="54" t="s">
        <v>203</v>
      </c>
      <c r="D16" s="54" t="s">
        <v>204</v>
      </c>
      <c r="E16" s="59" t="s">
        <v>205</v>
      </c>
      <c r="F16" s="54" t="s">
        <v>130</v>
      </c>
      <c r="G16" s="54" t="s">
        <v>206</v>
      </c>
      <c r="H16" s="54" t="s">
        <v>132</v>
      </c>
      <c r="I16" s="54" t="s">
        <v>207</v>
      </c>
      <c r="J16" s="72">
        <v>4508312</v>
      </c>
      <c r="K16" s="58" t="s">
        <v>208</v>
      </c>
      <c r="L16" s="58" t="s">
        <v>135</v>
      </c>
      <c r="M16" s="65" t="s">
        <v>130</v>
      </c>
      <c r="N16" s="65" t="s">
        <v>209</v>
      </c>
    </row>
    <row r="17" spans="2:19" x14ac:dyDescent="0.45">
      <c r="B17" s="54" t="s">
        <v>210</v>
      </c>
      <c r="C17" s="54" t="s">
        <v>203</v>
      </c>
      <c r="D17" s="54" t="s">
        <v>211</v>
      </c>
      <c r="E17" s="59" t="s">
        <v>205</v>
      </c>
      <c r="F17" s="54" t="s">
        <v>130</v>
      </c>
      <c r="G17" s="54" t="s">
        <v>206</v>
      </c>
      <c r="H17" s="54" t="s">
        <v>132</v>
      </c>
      <c r="I17" s="54" t="s">
        <v>207</v>
      </c>
      <c r="J17" s="56">
        <v>468700</v>
      </c>
      <c r="K17" s="57" t="s">
        <v>208</v>
      </c>
      <c r="L17" s="57" t="s">
        <v>135</v>
      </c>
      <c r="M17" s="64" t="s">
        <v>130</v>
      </c>
      <c r="N17" s="59" t="s">
        <v>212</v>
      </c>
      <c r="Q17" s="73" t="s">
        <v>213</v>
      </c>
      <c r="R17" s="61"/>
      <c r="S17" s="61"/>
    </row>
    <row r="18" spans="2:19" x14ac:dyDescent="0.45">
      <c r="B18" s="67"/>
      <c r="C18" s="67"/>
      <c r="D18" s="67"/>
      <c r="E18" s="68"/>
      <c r="F18" s="67" t="s">
        <v>130</v>
      </c>
      <c r="G18" s="67"/>
      <c r="H18" s="67"/>
      <c r="I18" s="67"/>
      <c r="J18" s="69"/>
      <c r="K18" s="70"/>
      <c r="L18" s="70"/>
      <c r="M18" s="71"/>
      <c r="N18" s="71"/>
    </row>
    <row r="19" spans="2:19" x14ac:dyDescent="0.45">
      <c r="B19" s="54" t="s">
        <v>214</v>
      </c>
      <c r="C19" s="54" t="s">
        <v>215</v>
      </c>
      <c r="D19" s="54" t="s">
        <v>216</v>
      </c>
      <c r="E19" s="59" t="s">
        <v>217</v>
      </c>
      <c r="F19" s="54" t="s">
        <v>130</v>
      </c>
      <c r="G19" s="54" t="s">
        <v>206</v>
      </c>
      <c r="H19" s="54" t="s">
        <v>132</v>
      </c>
      <c r="I19" s="54" t="s">
        <v>207</v>
      </c>
      <c r="J19" s="74">
        <v>470000</v>
      </c>
      <c r="K19" s="57" t="s">
        <v>208</v>
      </c>
      <c r="L19" s="57" t="s">
        <v>135</v>
      </c>
      <c r="M19" s="64" t="s">
        <v>218</v>
      </c>
      <c r="N19" s="59" t="s">
        <v>219</v>
      </c>
      <c r="Q19" s="2" t="s">
        <v>220</v>
      </c>
    </row>
    <row r="20" spans="2:19" x14ac:dyDescent="0.45">
      <c r="B20" s="54" t="s">
        <v>221</v>
      </c>
      <c r="C20" s="75" t="s">
        <v>222</v>
      </c>
      <c r="D20" s="54" t="s">
        <v>223</v>
      </c>
      <c r="E20" s="76" t="s">
        <v>224</v>
      </c>
      <c r="F20" s="54" t="s">
        <v>130</v>
      </c>
      <c r="G20" s="54" t="s">
        <v>225</v>
      </c>
      <c r="H20" s="54" t="s">
        <v>132</v>
      </c>
      <c r="I20" s="54" t="s">
        <v>207</v>
      </c>
      <c r="J20" s="74">
        <f>2206523+281000</f>
        <v>2487523</v>
      </c>
      <c r="K20" s="57" t="s">
        <v>226</v>
      </c>
      <c r="L20" s="57" t="s">
        <v>135</v>
      </c>
      <c r="M20" s="59" t="s">
        <v>227</v>
      </c>
      <c r="N20" s="59" t="s">
        <v>228</v>
      </c>
    </row>
    <row r="21" spans="2:19" x14ac:dyDescent="0.45">
      <c r="B21" s="54" t="s">
        <v>69</v>
      </c>
      <c r="C21" s="77" t="s">
        <v>229</v>
      </c>
      <c r="D21" s="54" t="s">
        <v>230</v>
      </c>
      <c r="E21" s="76" t="s">
        <v>231</v>
      </c>
      <c r="F21" s="54" t="s">
        <v>130</v>
      </c>
      <c r="G21" s="54" t="s">
        <v>193</v>
      </c>
      <c r="H21" s="54" t="s">
        <v>132</v>
      </c>
      <c r="I21" s="54" t="s">
        <v>207</v>
      </c>
      <c r="J21" s="74">
        <f>1473.1*150</f>
        <v>220965</v>
      </c>
      <c r="K21" s="58" t="s">
        <v>232</v>
      </c>
      <c r="L21" s="57" t="s">
        <v>135</v>
      </c>
      <c r="M21" s="65" t="s">
        <v>233</v>
      </c>
      <c r="N21" s="65" t="s">
        <v>130</v>
      </c>
    </row>
    <row r="22" spans="2:19" x14ac:dyDescent="0.45">
      <c r="B22" s="54" t="s">
        <v>66</v>
      </c>
      <c r="C22" s="78" t="s">
        <v>234</v>
      </c>
      <c r="D22" s="79" t="s">
        <v>235</v>
      </c>
      <c r="E22" s="76" t="s">
        <v>236</v>
      </c>
      <c r="F22" s="54" t="s">
        <v>130</v>
      </c>
      <c r="G22" s="54" t="s">
        <v>131</v>
      </c>
      <c r="H22" s="54" t="s">
        <v>132</v>
      </c>
      <c r="I22" s="54" t="s">
        <v>133</v>
      </c>
      <c r="J22" s="74">
        <v>4300000</v>
      </c>
      <c r="K22" s="57" t="s">
        <v>237</v>
      </c>
      <c r="L22" s="57" t="s">
        <v>135</v>
      </c>
      <c r="M22" s="65" t="s">
        <v>130</v>
      </c>
      <c r="N22" s="59" t="s">
        <v>238</v>
      </c>
    </row>
    <row r="23" spans="2:19" x14ac:dyDescent="0.45">
      <c r="B23" s="54" t="s">
        <v>70</v>
      </c>
      <c r="C23" s="80" t="s">
        <v>239</v>
      </c>
      <c r="D23" s="79" t="s">
        <v>240</v>
      </c>
      <c r="E23" s="76" t="s">
        <v>241</v>
      </c>
      <c r="F23" s="54" t="s">
        <v>130</v>
      </c>
      <c r="G23" s="54" t="s">
        <v>131</v>
      </c>
      <c r="H23" s="54" t="s">
        <v>132</v>
      </c>
      <c r="I23" s="54" t="s">
        <v>133</v>
      </c>
      <c r="J23" s="74">
        <v>1000000</v>
      </c>
      <c r="K23" s="57" t="s">
        <v>237</v>
      </c>
      <c r="L23" s="57" t="s">
        <v>135</v>
      </c>
      <c r="M23" s="65" t="s">
        <v>130</v>
      </c>
      <c r="N23" s="59" t="s">
        <v>238</v>
      </c>
    </row>
    <row r="24" spans="2:19" x14ac:dyDescent="0.45">
      <c r="B24" s="54" t="s">
        <v>242</v>
      </c>
      <c r="C24" s="54" t="s">
        <v>243</v>
      </c>
      <c r="D24" s="54" t="s">
        <v>244</v>
      </c>
      <c r="E24" s="55" t="s">
        <v>245</v>
      </c>
      <c r="F24" s="54" t="s">
        <v>130</v>
      </c>
      <c r="G24" s="54" t="s">
        <v>131</v>
      </c>
      <c r="H24" s="54" t="s">
        <v>132</v>
      </c>
      <c r="I24" s="54" t="s">
        <v>133</v>
      </c>
      <c r="J24" s="56">
        <v>1500000</v>
      </c>
      <c r="K24" s="57" t="s">
        <v>179</v>
      </c>
      <c r="L24" s="57" t="s">
        <v>135</v>
      </c>
      <c r="M24" s="65" t="s">
        <v>130</v>
      </c>
      <c r="N24" s="59" t="s">
        <v>246</v>
      </c>
    </row>
    <row r="25" spans="2:19" x14ac:dyDescent="0.45">
      <c r="B25" s="54" t="s">
        <v>247</v>
      </c>
      <c r="C25" s="54" t="s">
        <v>248</v>
      </c>
      <c r="D25" s="54" t="s">
        <v>249</v>
      </c>
      <c r="E25" s="55" t="s">
        <v>250</v>
      </c>
      <c r="F25" s="54" t="s">
        <v>130</v>
      </c>
      <c r="G25" s="54" t="s">
        <v>131</v>
      </c>
      <c r="H25" s="54" t="s">
        <v>132</v>
      </c>
      <c r="I25" s="54" t="s">
        <v>133</v>
      </c>
      <c r="J25" s="56">
        <v>2500000</v>
      </c>
      <c r="K25" s="57" t="s">
        <v>179</v>
      </c>
      <c r="L25" s="81" t="s">
        <v>135</v>
      </c>
      <c r="M25" s="65" t="s">
        <v>130</v>
      </c>
      <c r="N25" s="59" t="s">
        <v>251</v>
      </c>
    </row>
    <row r="26" spans="2:19" x14ac:dyDescent="0.45">
      <c r="B26" s="54" t="s">
        <v>252</v>
      </c>
      <c r="C26" s="54" t="s">
        <v>253</v>
      </c>
      <c r="D26" s="54" t="s">
        <v>254</v>
      </c>
      <c r="E26" s="55" t="s">
        <v>255</v>
      </c>
      <c r="F26" s="54" t="s">
        <v>130</v>
      </c>
      <c r="G26" s="54" t="s">
        <v>131</v>
      </c>
      <c r="H26" s="54" t="s">
        <v>132</v>
      </c>
      <c r="I26" s="54" t="s">
        <v>133</v>
      </c>
      <c r="J26" s="56">
        <v>2500000</v>
      </c>
      <c r="K26" s="57" t="s">
        <v>237</v>
      </c>
      <c r="L26" s="57" t="s">
        <v>135</v>
      </c>
      <c r="M26" s="65" t="s">
        <v>130</v>
      </c>
      <c r="N26" s="65" t="s">
        <v>130</v>
      </c>
    </row>
    <row r="27" spans="2:19" x14ac:dyDescent="0.45">
      <c r="B27" s="54" t="s">
        <v>256</v>
      </c>
      <c r="C27" s="54" t="s">
        <v>257</v>
      </c>
      <c r="D27" s="54" t="s">
        <v>258</v>
      </c>
      <c r="E27" s="55" t="s">
        <v>259</v>
      </c>
      <c r="F27" s="54" t="s">
        <v>130</v>
      </c>
      <c r="G27" s="54" t="s">
        <v>131</v>
      </c>
      <c r="H27" s="54" t="s">
        <v>132</v>
      </c>
      <c r="I27" s="54" t="s">
        <v>133</v>
      </c>
      <c r="J27" s="56">
        <v>3500000</v>
      </c>
      <c r="K27" s="57" t="s">
        <v>237</v>
      </c>
      <c r="L27" s="57" t="s">
        <v>135</v>
      </c>
      <c r="M27" s="64" t="s">
        <v>260</v>
      </c>
      <c r="N27" s="64" t="s">
        <v>260</v>
      </c>
    </row>
    <row r="28" spans="2:19" x14ac:dyDescent="0.45">
      <c r="B28" s="54" t="s">
        <v>67</v>
      </c>
      <c r="C28" s="54" t="s">
        <v>261</v>
      </c>
      <c r="D28" s="54" t="s">
        <v>262</v>
      </c>
      <c r="E28" s="59" t="s">
        <v>263</v>
      </c>
      <c r="F28" s="54" t="s">
        <v>130</v>
      </c>
      <c r="G28" s="54" t="s">
        <v>206</v>
      </c>
      <c r="H28" s="54" t="s">
        <v>132</v>
      </c>
      <c r="I28" s="54" t="s">
        <v>207</v>
      </c>
      <c r="J28" s="74">
        <f>356*1496</f>
        <v>532576</v>
      </c>
      <c r="K28" s="57" t="s">
        <v>208</v>
      </c>
      <c r="L28" s="57" t="s">
        <v>135</v>
      </c>
      <c r="M28" s="65" t="s">
        <v>218</v>
      </c>
      <c r="N28" s="59" t="s">
        <v>264</v>
      </c>
    </row>
    <row r="29" spans="2:19" x14ac:dyDescent="0.45">
      <c r="B29" s="54" t="s">
        <v>265</v>
      </c>
      <c r="C29" s="54" t="s">
        <v>266</v>
      </c>
      <c r="D29" s="54" t="s">
        <v>267</v>
      </c>
      <c r="E29" s="59" t="s">
        <v>268</v>
      </c>
      <c r="F29" s="54" t="s">
        <v>130</v>
      </c>
      <c r="G29" s="54" t="s">
        <v>131</v>
      </c>
      <c r="H29" s="54" t="s">
        <v>132</v>
      </c>
      <c r="I29" s="54" t="s">
        <v>133</v>
      </c>
      <c r="J29" s="56">
        <v>150000</v>
      </c>
      <c r="K29" s="57" t="s">
        <v>237</v>
      </c>
      <c r="L29" s="57" t="s">
        <v>135</v>
      </c>
      <c r="M29" s="65" t="s">
        <v>130</v>
      </c>
      <c r="N29" s="65" t="s">
        <v>130</v>
      </c>
    </row>
    <row r="30" spans="2:19" x14ac:dyDescent="0.45">
      <c r="B30" s="54" t="s">
        <v>269</v>
      </c>
      <c r="C30" s="54" t="s">
        <v>215</v>
      </c>
      <c r="D30" s="54" t="s">
        <v>270</v>
      </c>
      <c r="E30" s="59" t="s">
        <v>271</v>
      </c>
      <c r="F30" s="54" t="s">
        <v>130</v>
      </c>
      <c r="G30" s="54" t="s">
        <v>206</v>
      </c>
      <c r="H30" s="54" t="s">
        <v>132</v>
      </c>
      <c r="I30" s="54" t="s">
        <v>207</v>
      </c>
      <c r="J30" s="56">
        <v>298960</v>
      </c>
      <c r="K30" s="58" t="s">
        <v>208</v>
      </c>
      <c r="L30" s="58" t="s">
        <v>135</v>
      </c>
      <c r="M30" s="65" t="s">
        <v>130</v>
      </c>
      <c r="N30" s="59" t="s">
        <v>272</v>
      </c>
    </row>
    <row r="31" spans="2:19" x14ac:dyDescent="0.45">
      <c r="B31" s="54" t="s">
        <v>273</v>
      </c>
      <c r="C31" s="54" t="s">
        <v>257</v>
      </c>
      <c r="D31" s="54" t="s">
        <v>274</v>
      </c>
      <c r="E31" s="59" t="s">
        <v>275</v>
      </c>
      <c r="F31" s="54" t="s">
        <v>130</v>
      </c>
      <c r="G31" s="54" t="s">
        <v>131</v>
      </c>
      <c r="H31" s="54" t="s">
        <v>132</v>
      </c>
      <c r="I31" s="54" t="s">
        <v>207</v>
      </c>
      <c r="J31" s="56">
        <v>900000</v>
      </c>
      <c r="K31" s="82" t="s">
        <v>237</v>
      </c>
      <c r="L31" s="58" t="s">
        <v>135</v>
      </c>
      <c r="M31" s="65" t="s">
        <v>130</v>
      </c>
      <c r="N31" s="65" t="s">
        <v>276</v>
      </c>
    </row>
    <row r="32" spans="2:19" x14ac:dyDescent="0.45">
      <c r="B32" s="54" t="s">
        <v>277</v>
      </c>
      <c r="C32" s="54" t="s">
        <v>243</v>
      </c>
      <c r="D32" s="54" t="s">
        <v>278</v>
      </c>
      <c r="E32" s="59" t="s">
        <v>279</v>
      </c>
      <c r="F32" s="54" t="s">
        <v>130</v>
      </c>
      <c r="G32" s="54" t="s">
        <v>131</v>
      </c>
      <c r="H32" s="54" t="s">
        <v>132</v>
      </c>
      <c r="I32" s="54" t="s">
        <v>207</v>
      </c>
      <c r="J32" s="56">
        <v>1400000</v>
      </c>
      <c r="K32" s="82" t="s">
        <v>237</v>
      </c>
      <c r="L32" s="58" t="s">
        <v>135</v>
      </c>
      <c r="M32" s="65" t="s">
        <v>130</v>
      </c>
      <c r="N32" s="65" t="s">
        <v>280</v>
      </c>
    </row>
    <row r="33" spans="2:14" x14ac:dyDescent="0.45">
      <c r="B33" s="54" t="s">
        <v>281</v>
      </c>
      <c r="C33" s="54" t="s">
        <v>257</v>
      </c>
      <c r="D33" s="54" t="s">
        <v>282</v>
      </c>
      <c r="E33" s="59" t="s">
        <v>275</v>
      </c>
      <c r="F33" s="54" t="s">
        <v>130</v>
      </c>
      <c r="G33" s="54" t="s">
        <v>131</v>
      </c>
      <c r="H33" s="54" t="s">
        <v>132</v>
      </c>
      <c r="I33" s="54" t="s">
        <v>207</v>
      </c>
      <c r="J33" s="56">
        <v>1000000</v>
      </c>
      <c r="K33" s="82" t="s">
        <v>237</v>
      </c>
      <c r="L33" s="58" t="s">
        <v>135</v>
      </c>
      <c r="M33" s="65" t="s">
        <v>130</v>
      </c>
      <c r="N33" s="65" t="s">
        <v>283</v>
      </c>
    </row>
    <row r="34" spans="2:14" x14ac:dyDescent="0.45">
      <c r="B34" s="54" t="s">
        <v>95</v>
      </c>
      <c r="C34" s="54" t="s">
        <v>284</v>
      </c>
      <c r="D34" s="54" t="s">
        <v>285</v>
      </c>
      <c r="E34" s="59" t="s">
        <v>286</v>
      </c>
      <c r="F34" s="54" t="s">
        <v>130</v>
      </c>
      <c r="G34" s="54" t="s">
        <v>131</v>
      </c>
      <c r="H34" s="54" t="s">
        <v>132</v>
      </c>
      <c r="I34" s="54" t="s">
        <v>207</v>
      </c>
      <c r="J34" s="56">
        <v>211840</v>
      </c>
      <c r="K34" s="58" t="s">
        <v>287</v>
      </c>
      <c r="L34" s="58" t="s">
        <v>135</v>
      </c>
      <c r="M34" s="65" t="s">
        <v>130</v>
      </c>
      <c r="N34" s="65" t="s">
        <v>130</v>
      </c>
    </row>
    <row r="35" spans="2:14" x14ac:dyDescent="0.45">
      <c r="B35" s="54" t="s">
        <v>288</v>
      </c>
      <c r="C35" s="54" t="s">
        <v>243</v>
      </c>
      <c r="D35" s="54" t="s">
        <v>289</v>
      </c>
      <c r="E35" s="59" t="s">
        <v>290</v>
      </c>
      <c r="F35" s="54" t="s">
        <v>130</v>
      </c>
      <c r="G35" s="54" t="s">
        <v>131</v>
      </c>
      <c r="H35" s="54" t="s">
        <v>132</v>
      </c>
      <c r="I35" s="54" t="s">
        <v>207</v>
      </c>
      <c r="J35" s="56">
        <v>800000</v>
      </c>
      <c r="K35" s="79" t="s">
        <v>291</v>
      </c>
      <c r="L35" s="58" t="s">
        <v>135</v>
      </c>
      <c r="M35" s="65" t="s">
        <v>130</v>
      </c>
      <c r="N35" s="83" t="s">
        <v>292</v>
      </c>
    </row>
    <row r="36" spans="2:14" x14ac:dyDescent="0.45">
      <c r="B36" s="84" t="s">
        <v>293</v>
      </c>
      <c r="C36" s="84" t="s">
        <v>261</v>
      </c>
      <c r="D36" s="84" t="s">
        <v>294</v>
      </c>
      <c r="E36" s="85" t="s">
        <v>263</v>
      </c>
      <c r="F36" s="84" t="s">
        <v>126</v>
      </c>
      <c r="G36" s="84" t="s">
        <v>295</v>
      </c>
      <c r="H36" s="84" t="s">
        <v>296</v>
      </c>
      <c r="I36" s="84" t="s">
        <v>207</v>
      </c>
      <c r="J36" s="86">
        <v>2079000</v>
      </c>
      <c r="K36" s="87" t="s">
        <v>179</v>
      </c>
      <c r="L36" s="88" t="s">
        <v>297</v>
      </c>
      <c r="M36" s="89" t="s">
        <v>298</v>
      </c>
      <c r="N36" s="90" t="s">
        <v>299</v>
      </c>
    </row>
    <row r="37" spans="2:14" x14ac:dyDescent="0.45">
      <c r="B37" s="54" t="s">
        <v>300</v>
      </c>
      <c r="C37" s="77" t="s">
        <v>229</v>
      </c>
      <c r="D37" s="54" t="s">
        <v>301</v>
      </c>
      <c r="E37" s="59" t="s">
        <v>231</v>
      </c>
      <c r="F37" s="54" t="s">
        <v>126</v>
      </c>
      <c r="G37" s="54" t="s">
        <v>193</v>
      </c>
      <c r="H37" s="54" t="s">
        <v>302</v>
      </c>
      <c r="I37" s="54" t="s">
        <v>207</v>
      </c>
      <c r="J37" s="74">
        <f>1473.1*190</f>
        <v>279889</v>
      </c>
      <c r="K37" s="80" t="s">
        <v>232</v>
      </c>
      <c r="L37" s="91" t="s">
        <v>297</v>
      </c>
      <c r="M37" s="92" t="s">
        <v>303</v>
      </c>
      <c r="N37" s="93" t="s">
        <v>126</v>
      </c>
    </row>
    <row r="38" spans="2:14" x14ac:dyDescent="0.45">
      <c r="B38" s="54" t="s">
        <v>94</v>
      </c>
      <c r="C38" s="78" t="s">
        <v>234</v>
      </c>
      <c r="D38" s="79" t="s">
        <v>304</v>
      </c>
      <c r="E38" s="76" t="s">
        <v>236</v>
      </c>
      <c r="F38" s="54" t="s">
        <v>126</v>
      </c>
      <c r="G38" s="54" t="s">
        <v>295</v>
      </c>
      <c r="H38" s="54" t="s">
        <v>302</v>
      </c>
      <c r="I38" s="54" t="s">
        <v>207</v>
      </c>
      <c r="J38" s="74">
        <v>4000000</v>
      </c>
      <c r="K38" s="79" t="s">
        <v>291</v>
      </c>
      <c r="L38" s="58" t="s">
        <v>135</v>
      </c>
      <c r="M38" s="65" t="s">
        <v>130</v>
      </c>
      <c r="N38" s="93" t="s">
        <v>305</v>
      </c>
    </row>
    <row r="39" spans="2:14" x14ac:dyDescent="0.45">
      <c r="B39" s="67"/>
      <c r="C39" s="67"/>
      <c r="D39" s="67"/>
      <c r="E39" s="68"/>
      <c r="F39" s="67" t="s">
        <v>130</v>
      </c>
      <c r="G39" s="67"/>
      <c r="H39" s="67"/>
      <c r="I39" s="67"/>
      <c r="J39" s="69"/>
      <c r="K39" s="70"/>
      <c r="L39" s="70"/>
      <c r="M39" s="94"/>
      <c r="N39" s="94"/>
    </row>
    <row r="40" spans="2:14" x14ac:dyDescent="0.45">
      <c r="B40" s="54" t="s">
        <v>306</v>
      </c>
      <c r="C40" s="54" t="s">
        <v>307</v>
      </c>
      <c r="D40" s="54" t="s">
        <v>308</v>
      </c>
      <c r="E40" s="59" t="s">
        <v>309</v>
      </c>
      <c r="F40" s="54" t="s">
        <v>130</v>
      </c>
      <c r="G40" s="54" t="s">
        <v>131</v>
      </c>
      <c r="H40" s="54" t="s">
        <v>132</v>
      </c>
      <c r="I40" s="54" t="s">
        <v>133</v>
      </c>
      <c r="J40" s="56">
        <v>100000</v>
      </c>
      <c r="K40" s="57" t="s">
        <v>237</v>
      </c>
      <c r="L40" s="57" t="s">
        <v>135</v>
      </c>
      <c r="M40" s="65" t="s">
        <v>130</v>
      </c>
      <c r="N40" s="65" t="s">
        <v>310</v>
      </c>
    </row>
    <row r="41" spans="2:14" x14ac:dyDescent="0.45">
      <c r="B41" s="54" t="s">
        <v>74</v>
      </c>
      <c r="C41" s="54" t="s">
        <v>311</v>
      </c>
      <c r="D41" s="54" t="s">
        <v>312</v>
      </c>
      <c r="E41" s="59" t="s">
        <v>313</v>
      </c>
      <c r="F41" s="54" t="s">
        <v>130</v>
      </c>
      <c r="G41" s="54" t="s">
        <v>131</v>
      </c>
      <c r="H41" s="54" t="s">
        <v>132</v>
      </c>
      <c r="I41" s="54" t="s">
        <v>133</v>
      </c>
      <c r="J41" s="56">
        <v>1596000</v>
      </c>
      <c r="K41" s="57" t="s">
        <v>314</v>
      </c>
      <c r="L41" s="57" t="s">
        <v>135</v>
      </c>
      <c r="M41" s="65" t="s">
        <v>130</v>
      </c>
      <c r="N41" s="64" t="s">
        <v>315</v>
      </c>
    </row>
    <row r="42" spans="2:14" x14ac:dyDescent="0.45">
      <c r="B42" s="54" t="s">
        <v>316</v>
      </c>
      <c r="C42" s="54" t="s">
        <v>317</v>
      </c>
      <c r="D42" s="54" t="s">
        <v>318</v>
      </c>
      <c r="E42" s="59" t="s">
        <v>319</v>
      </c>
      <c r="F42" s="54" t="s">
        <v>130</v>
      </c>
      <c r="G42" s="54" t="s">
        <v>131</v>
      </c>
      <c r="H42" s="54" t="s">
        <v>132</v>
      </c>
      <c r="I42" s="54" t="s">
        <v>133</v>
      </c>
      <c r="J42" s="56"/>
      <c r="K42" s="57" t="s">
        <v>237</v>
      </c>
      <c r="L42" s="57" t="s">
        <v>135</v>
      </c>
      <c r="M42" s="65" t="s">
        <v>130</v>
      </c>
      <c r="N42" s="65" t="s">
        <v>130</v>
      </c>
    </row>
    <row r="43" spans="2:14" x14ac:dyDescent="0.45">
      <c r="B43" s="54" t="s">
        <v>82</v>
      </c>
      <c r="C43" s="54" t="s">
        <v>317</v>
      </c>
      <c r="D43" s="54" t="s">
        <v>320</v>
      </c>
      <c r="E43" s="59" t="s">
        <v>321</v>
      </c>
      <c r="F43" s="54" t="s">
        <v>130</v>
      </c>
      <c r="G43" s="54" t="s">
        <v>131</v>
      </c>
      <c r="H43" s="54" t="s">
        <v>132</v>
      </c>
      <c r="I43" s="54" t="s">
        <v>133</v>
      </c>
      <c r="J43" s="56">
        <v>3800000</v>
      </c>
      <c r="K43" s="57" t="s">
        <v>237</v>
      </c>
      <c r="L43" s="57" t="s">
        <v>135</v>
      </c>
      <c r="M43" s="65" t="s">
        <v>130</v>
      </c>
      <c r="N43" s="65" t="s">
        <v>322</v>
      </c>
    </row>
    <row r="44" spans="2:14" x14ac:dyDescent="0.45">
      <c r="B44" s="54" t="s">
        <v>323</v>
      </c>
      <c r="C44" s="54" t="s">
        <v>324</v>
      </c>
      <c r="D44" s="54" t="s">
        <v>325</v>
      </c>
      <c r="E44" s="59" t="s">
        <v>326</v>
      </c>
      <c r="F44" s="54" t="s">
        <v>130</v>
      </c>
      <c r="G44" s="54" t="s">
        <v>131</v>
      </c>
      <c r="H44" s="54" t="s">
        <v>132</v>
      </c>
      <c r="I44" s="54" t="s">
        <v>133</v>
      </c>
      <c r="J44" s="56">
        <v>1000000</v>
      </c>
      <c r="K44" s="57" t="s">
        <v>237</v>
      </c>
      <c r="L44" s="57" t="s">
        <v>135</v>
      </c>
      <c r="M44" s="65" t="s">
        <v>130</v>
      </c>
      <c r="N44" s="64" t="s">
        <v>327</v>
      </c>
    </row>
    <row r="45" spans="2:14" x14ac:dyDescent="0.45">
      <c r="B45" s="54" t="s">
        <v>90</v>
      </c>
      <c r="C45" s="54" t="s">
        <v>324</v>
      </c>
      <c r="D45" s="54" t="s">
        <v>328</v>
      </c>
      <c r="E45" s="59" t="s">
        <v>326</v>
      </c>
      <c r="F45" s="54" t="s">
        <v>130</v>
      </c>
      <c r="G45" s="54" t="s">
        <v>131</v>
      </c>
      <c r="H45" s="54" t="s">
        <v>132</v>
      </c>
      <c r="I45" s="54" t="s">
        <v>133</v>
      </c>
      <c r="J45" s="56">
        <v>780000</v>
      </c>
      <c r="K45" s="57" t="s">
        <v>314</v>
      </c>
      <c r="L45" s="57" t="s">
        <v>135</v>
      </c>
      <c r="M45" s="65" t="s">
        <v>130</v>
      </c>
      <c r="N45" s="64" t="s">
        <v>329</v>
      </c>
    </row>
    <row r="46" spans="2:14" x14ac:dyDescent="0.45">
      <c r="B46" s="54" t="s">
        <v>112</v>
      </c>
      <c r="C46" s="54" t="s">
        <v>330</v>
      </c>
      <c r="D46" s="54" t="s">
        <v>331</v>
      </c>
      <c r="E46" s="59" t="s">
        <v>332</v>
      </c>
      <c r="F46" s="54" t="s">
        <v>130</v>
      </c>
      <c r="G46" s="54" t="s">
        <v>131</v>
      </c>
      <c r="H46" s="54" t="s">
        <v>132</v>
      </c>
      <c r="I46" s="54" t="s">
        <v>133</v>
      </c>
      <c r="J46" s="56">
        <v>392500</v>
      </c>
      <c r="K46" s="57" t="s">
        <v>333</v>
      </c>
      <c r="L46" s="57" t="s">
        <v>135</v>
      </c>
      <c r="M46" s="65" t="s">
        <v>334</v>
      </c>
      <c r="N46" s="64" t="s">
        <v>335</v>
      </c>
    </row>
    <row r="47" spans="2:14" x14ac:dyDescent="0.45">
      <c r="B47" s="54" t="s">
        <v>107</v>
      </c>
      <c r="C47" s="54" t="s">
        <v>336</v>
      </c>
      <c r="D47" s="54" t="s">
        <v>337</v>
      </c>
      <c r="E47" s="59" t="s">
        <v>338</v>
      </c>
      <c r="F47" s="54" t="s">
        <v>130</v>
      </c>
      <c r="G47" s="54" t="s">
        <v>131</v>
      </c>
      <c r="H47" s="54" t="s">
        <v>296</v>
      </c>
      <c r="I47" s="54" t="s">
        <v>133</v>
      </c>
      <c r="J47" s="56">
        <v>292000</v>
      </c>
      <c r="K47" s="57" t="s">
        <v>333</v>
      </c>
      <c r="L47" s="57" t="s">
        <v>135</v>
      </c>
      <c r="M47" s="65" t="s">
        <v>334</v>
      </c>
      <c r="N47" s="65" t="s">
        <v>339</v>
      </c>
    </row>
    <row r="48" spans="2:14" x14ac:dyDescent="0.45">
      <c r="B48" s="54" t="s">
        <v>340</v>
      </c>
      <c r="C48" s="54" t="s">
        <v>341</v>
      </c>
      <c r="D48" s="54" t="s">
        <v>342</v>
      </c>
      <c r="E48" s="59" t="s">
        <v>343</v>
      </c>
      <c r="F48" s="54" t="s">
        <v>130</v>
      </c>
      <c r="G48" s="54" t="s">
        <v>131</v>
      </c>
      <c r="H48" s="54" t="s">
        <v>132</v>
      </c>
      <c r="I48" s="54" t="s">
        <v>133</v>
      </c>
      <c r="J48" s="56">
        <v>144000</v>
      </c>
      <c r="K48" s="57" t="s">
        <v>333</v>
      </c>
      <c r="L48" s="57" t="s">
        <v>135</v>
      </c>
      <c r="M48" s="65" t="s">
        <v>130</v>
      </c>
      <c r="N48" s="65" t="s">
        <v>341</v>
      </c>
    </row>
    <row r="49" spans="2:14" x14ac:dyDescent="0.45">
      <c r="B49" s="54" t="s">
        <v>344</v>
      </c>
      <c r="C49" s="54" t="s">
        <v>345</v>
      </c>
      <c r="D49" s="54" t="s">
        <v>346</v>
      </c>
      <c r="E49" s="59" t="s">
        <v>347</v>
      </c>
      <c r="F49" s="54" t="s">
        <v>130</v>
      </c>
      <c r="G49" s="54" t="s">
        <v>131</v>
      </c>
      <c r="H49" s="54" t="s">
        <v>132</v>
      </c>
      <c r="I49" s="54" t="s">
        <v>133</v>
      </c>
      <c r="J49" s="56">
        <v>180000</v>
      </c>
      <c r="K49" s="57" t="s">
        <v>333</v>
      </c>
      <c r="L49" s="57" t="s">
        <v>135</v>
      </c>
      <c r="M49" s="65" t="s">
        <v>130</v>
      </c>
      <c r="N49" s="65" t="s">
        <v>345</v>
      </c>
    </row>
    <row r="50" spans="2:14" x14ac:dyDescent="0.45">
      <c r="B50" s="54" t="s">
        <v>92</v>
      </c>
      <c r="C50" s="54" t="s">
        <v>348</v>
      </c>
      <c r="D50" s="54" t="s">
        <v>349</v>
      </c>
      <c r="E50" s="59" t="s">
        <v>350</v>
      </c>
      <c r="F50" s="54" t="s">
        <v>130</v>
      </c>
      <c r="G50" s="54" t="s">
        <v>131</v>
      </c>
      <c r="H50" s="54" t="s">
        <v>132</v>
      </c>
      <c r="I50" s="54" t="s">
        <v>351</v>
      </c>
      <c r="J50" s="56">
        <v>1330</v>
      </c>
      <c r="K50" s="57" t="s">
        <v>352</v>
      </c>
      <c r="L50" s="57" t="s">
        <v>135</v>
      </c>
      <c r="M50" s="64" t="s">
        <v>353</v>
      </c>
      <c r="N50" s="64" t="s">
        <v>354</v>
      </c>
    </row>
    <row r="51" spans="2:14" x14ac:dyDescent="0.45">
      <c r="B51" s="54" t="s">
        <v>355</v>
      </c>
      <c r="C51" s="54" t="s">
        <v>356</v>
      </c>
      <c r="D51" s="54" t="s">
        <v>357</v>
      </c>
      <c r="E51" s="59" t="s">
        <v>358</v>
      </c>
      <c r="F51" s="54" t="s">
        <v>130</v>
      </c>
      <c r="G51" s="54" t="s">
        <v>131</v>
      </c>
      <c r="H51" s="54" t="s">
        <v>132</v>
      </c>
      <c r="I51" s="54" t="s">
        <v>133</v>
      </c>
      <c r="J51" s="63">
        <v>4300000</v>
      </c>
      <c r="K51" s="58" t="s">
        <v>359</v>
      </c>
      <c r="L51" s="58" t="s">
        <v>135</v>
      </c>
      <c r="M51" s="65" t="s">
        <v>130</v>
      </c>
      <c r="N51" s="65" t="s">
        <v>360</v>
      </c>
    </row>
    <row r="52" spans="2:14" x14ac:dyDescent="0.45">
      <c r="B52" s="54" t="s">
        <v>361</v>
      </c>
      <c r="C52" s="54" t="s">
        <v>362</v>
      </c>
      <c r="D52" s="54" t="s">
        <v>363</v>
      </c>
      <c r="E52" s="59" t="s">
        <v>364</v>
      </c>
      <c r="F52" s="54" t="s">
        <v>130</v>
      </c>
      <c r="G52" s="54" t="s">
        <v>131</v>
      </c>
      <c r="H52" s="54" t="s">
        <v>302</v>
      </c>
      <c r="I52" s="54" t="s">
        <v>207</v>
      </c>
      <c r="J52" s="56">
        <v>120000</v>
      </c>
      <c r="K52" s="57" t="s">
        <v>365</v>
      </c>
      <c r="L52" s="57" t="s">
        <v>297</v>
      </c>
      <c r="M52" s="65" t="s">
        <v>130</v>
      </c>
      <c r="N52" s="65" t="s">
        <v>366</v>
      </c>
    </row>
    <row r="53" spans="2:14" x14ac:dyDescent="0.45">
      <c r="B53" s="54" t="s">
        <v>104</v>
      </c>
      <c r="C53" s="54" t="s">
        <v>367</v>
      </c>
      <c r="D53" s="54" t="s">
        <v>368</v>
      </c>
      <c r="E53" s="59" t="s">
        <v>369</v>
      </c>
      <c r="F53" s="54" t="s">
        <v>130</v>
      </c>
      <c r="G53" s="54" t="s">
        <v>131</v>
      </c>
      <c r="H53" s="54" t="s">
        <v>302</v>
      </c>
      <c r="I53" s="54" t="s">
        <v>207</v>
      </c>
      <c r="J53" s="56">
        <v>145000</v>
      </c>
      <c r="K53" s="57" t="s">
        <v>370</v>
      </c>
      <c r="L53" s="57" t="s">
        <v>297</v>
      </c>
      <c r="M53" s="65" t="s">
        <v>130</v>
      </c>
      <c r="N53" s="65" t="s">
        <v>371</v>
      </c>
    </row>
    <row r="54" spans="2:14" x14ac:dyDescent="0.45">
      <c r="B54" s="54" t="s">
        <v>372</v>
      </c>
      <c r="C54" s="54" t="s">
        <v>373</v>
      </c>
      <c r="D54" s="54" t="s">
        <v>374</v>
      </c>
      <c r="E54" s="59" t="s">
        <v>375</v>
      </c>
      <c r="F54" s="54" t="s">
        <v>130</v>
      </c>
      <c r="G54" s="54" t="s">
        <v>131</v>
      </c>
      <c r="H54" s="54" t="s">
        <v>302</v>
      </c>
      <c r="I54" s="54" t="s">
        <v>207</v>
      </c>
      <c r="J54" s="56">
        <v>110000</v>
      </c>
      <c r="K54" s="57" t="s">
        <v>370</v>
      </c>
      <c r="L54" s="57" t="s">
        <v>297</v>
      </c>
      <c r="M54" s="65" t="s">
        <v>130</v>
      </c>
      <c r="N54" s="65" t="s">
        <v>376</v>
      </c>
    </row>
    <row r="55" spans="2:14" x14ac:dyDescent="0.45">
      <c r="B55" s="54" t="s">
        <v>377</v>
      </c>
      <c r="C55" s="54" t="s">
        <v>378</v>
      </c>
      <c r="D55" s="54" t="s">
        <v>379</v>
      </c>
      <c r="E55" s="59" t="s">
        <v>380</v>
      </c>
      <c r="F55" s="54" t="s">
        <v>130</v>
      </c>
      <c r="G55" s="54" t="s">
        <v>131</v>
      </c>
      <c r="H55" s="54" t="s">
        <v>302</v>
      </c>
      <c r="I55" s="54" t="s">
        <v>207</v>
      </c>
      <c r="J55" s="56">
        <v>3400</v>
      </c>
      <c r="K55" s="57" t="s">
        <v>370</v>
      </c>
      <c r="L55" s="57" t="s">
        <v>297</v>
      </c>
      <c r="M55" s="65" t="s">
        <v>130</v>
      </c>
      <c r="N55" s="65" t="s">
        <v>130</v>
      </c>
    </row>
    <row r="56" spans="2:14" x14ac:dyDescent="0.45">
      <c r="B56" s="54" t="s">
        <v>381</v>
      </c>
      <c r="C56" s="54" t="s">
        <v>382</v>
      </c>
      <c r="D56" s="54" t="s">
        <v>383</v>
      </c>
      <c r="E56" s="59" t="s">
        <v>384</v>
      </c>
      <c r="F56" s="54" t="s">
        <v>130</v>
      </c>
      <c r="G56" s="54" t="s">
        <v>131</v>
      </c>
      <c r="H56" s="54" t="s">
        <v>302</v>
      </c>
      <c r="I56" s="54" t="s">
        <v>207</v>
      </c>
      <c r="J56" s="56">
        <v>2000</v>
      </c>
      <c r="K56" s="57" t="s">
        <v>385</v>
      </c>
      <c r="L56" s="57" t="s">
        <v>297</v>
      </c>
      <c r="M56" s="65" t="s">
        <v>130</v>
      </c>
      <c r="N56" s="65" t="s">
        <v>130</v>
      </c>
    </row>
    <row r="57" spans="2:14" x14ac:dyDescent="0.45">
      <c r="B57" s="54" t="s">
        <v>386</v>
      </c>
      <c r="C57" s="54" t="s">
        <v>324</v>
      </c>
      <c r="D57" s="54" t="s">
        <v>387</v>
      </c>
      <c r="E57" s="59" t="s">
        <v>326</v>
      </c>
      <c r="F57" s="54" t="s">
        <v>130</v>
      </c>
      <c r="G57" s="54" t="s">
        <v>131</v>
      </c>
      <c r="H57" s="54" t="s">
        <v>302</v>
      </c>
      <c r="I57" s="54" t="s">
        <v>207</v>
      </c>
      <c r="J57" s="56">
        <v>920000</v>
      </c>
      <c r="K57" s="57" t="s">
        <v>314</v>
      </c>
      <c r="L57" s="57" t="s">
        <v>135</v>
      </c>
      <c r="M57" s="65" t="s">
        <v>130</v>
      </c>
      <c r="N57" s="64" t="s">
        <v>388</v>
      </c>
    </row>
    <row r="58" spans="2:14" x14ac:dyDescent="0.45">
      <c r="B58" s="54" t="s">
        <v>389</v>
      </c>
      <c r="C58" s="54" t="s">
        <v>324</v>
      </c>
      <c r="D58" s="54" t="s">
        <v>390</v>
      </c>
      <c r="E58" s="59" t="s">
        <v>326</v>
      </c>
      <c r="F58" s="54" t="s">
        <v>130</v>
      </c>
      <c r="G58" s="54" t="s">
        <v>131</v>
      </c>
      <c r="H58" s="54" t="s">
        <v>302</v>
      </c>
      <c r="I58" s="54" t="s">
        <v>207</v>
      </c>
      <c r="J58" s="56">
        <v>1380000</v>
      </c>
      <c r="K58" s="57" t="s">
        <v>314</v>
      </c>
      <c r="L58" s="57" t="s">
        <v>135</v>
      </c>
      <c r="M58" s="65" t="s">
        <v>130</v>
      </c>
      <c r="N58" s="64" t="s">
        <v>391</v>
      </c>
    </row>
    <row r="59" spans="2:14" x14ac:dyDescent="0.45">
      <c r="B59" s="54" t="s">
        <v>392</v>
      </c>
      <c r="C59" s="54" t="s">
        <v>324</v>
      </c>
      <c r="D59" s="54" t="s">
        <v>393</v>
      </c>
      <c r="E59" s="59" t="s">
        <v>326</v>
      </c>
      <c r="F59" s="54" t="s">
        <v>130</v>
      </c>
      <c r="G59" s="54" t="s">
        <v>131</v>
      </c>
      <c r="H59" s="54" t="s">
        <v>302</v>
      </c>
      <c r="I59" s="54" t="s">
        <v>207</v>
      </c>
      <c r="J59" s="56">
        <v>1762700</v>
      </c>
      <c r="K59" s="57" t="s">
        <v>314</v>
      </c>
      <c r="L59" s="57" t="s">
        <v>135</v>
      </c>
      <c r="M59" s="65" t="s">
        <v>130</v>
      </c>
      <c r="N59" s="64" t="s">
        <v>394</v>
      </c>
    </row>
    <row r="60" spans="2:14" x14ac:dyDescent="0.45">
      <c r="B60" s="54" t="s">
        <v>103</v>
      </c>
      <c r="C60" s="54" t="s">
        <v>395</v>
      </c>
      <c r="D60" s="54" t="s">
        <v>396</v>
      </c>
      <c r="E60" s="59" t="s">
        <v>347</v>
      </c>
      <c r="F60" s="54" t="s">
        <v>130</v>
      </c>
      <c r="G60" s="54" t="s">
        <v>131</v>
      </c>
      <c r="H60" s="54" t="s">
        <v>302</v>
      </c>
      <c r="I60" s="54" t="s">
        <v>207</v>
      </c>
      <c r="J60" s="56">
        <v>310000</v>
      </c>
      <c r="K60" s="57" t="s">
        <v>179</v>
      </c>
      <c r="L60" s="57" t="s">
        <v>135</v>
      </c>
      <c r="M60" s="65" t="s">
        <v>130</v>
      </c>
      <c r="N60" s="64" t="s">
        <v>397</v>
      </c>
    </row>
    <row r="61" spans="2:14" x14ac:dyDescent="0.45">
      <c r="B61" s="54" t="s">
        <v>98</v>
      </c>
      <c r="C61" s="54" t="s">
        <v>398</v>
      </c>
      <c r="D61" s="54" t="s">
        <v>399</v>
      </c>
      <c r="E61" s="59" t="s">
        <v>332</v>
      </c>
      <c r="F61" s="54" t="s">
        <v>130</v>
      </c>
      <c r="G61" s="54" t="s">
        <v>131</v>
      </c>
      <c r="H61" s="54" t="s">
        <v>302</v>
      </c>
      <c r="I61" s="54" t="s">
        <v>207</v>
      </c>
      <c r="J61" s="56">
        <v>2213000</v>
      </c>
      <c r="K61" s="57" t="s">
        <v>314</v>
      </c>
      <c r="L61" s="57" t="s">
        <v>135</v>
      </c>
      <c r="M61" s="65" t="s">
        <v>130</v>
      </c>
      <c r="N61" s="64" t="s">
        <v>400</v>
      </c>
    </row>
    <row r="62" spans="2:14" x14ac:dyDescent="0.45">
      <c r="B62" s="54" t="s">
        <v>401</v>
      </c>
      <c r="C62" s="54" t="s">
        <v>324</v>
      </c>
      <c r="D62" s="54" t="s">
        <v>402</v>
      </c>
      <c r="E62" s="59" t="s">
        <v>326</v>
      </c>
      <c r="F62" s="54" t="s">
        <v>130</v>
      </c>
      <c r="G62" s="54" t="s">
        <v>131</v>
      </c>
      <c r="H62" s="54" t="s">
        <v>132</v>
      </c>
      <c r="I62" s="54" t="s">
        <v>133</v>
      </c>
      <c r="J62" s="56">
        <v>684000</v>
      </c>
      <c r="K62" s="57" t="s">
        <v>314</v>
      </c>
      <c r="L62" s="57" t="s">
        <v>135</v>
      </c>
      <c r="M62" s="64" t="s">
        <v>126</v>
      </c>
      <c r="N62" s="64" t="s">
        <v>403</v>
      </c>
    </row>
    <row r="63" spans="2:14" x14ac:dyDescent="0.45">
      <c r="B63" s="54" t="s">
        <v>404</v>
      </c>
      <c r="C63" s="54" t="s">
        <v>336</v>
      </c>
      <c r="D63" s="54" t="s">
        <v>405</v>
      </c>
      <c r="E63" s="59" t="s">
        <v>338</v>
      </c>
      <c r="F63" s="54" t="s">
        <v>130</v>
      </c>
      <c r="G63" s="54" t="s">
        <v>131</v>
      </c>
      <c r="H63" s="54" t="s">
        <v>296</v>
      </c>
      <c r="I63" s="54" t="s">
        <v>133</v>
      </c>
      <c r="J63" s="56">
        <v>450500</v>
      </c>
      <c r="K63" s="57" t="s">
        <v>333</v>
      </c>
      <c r="L63" s="57" t="s">
        <v>135</v>
      </c>
      <c r="M63" s="64" t="s">
        <v>334</v>
      </c>
      <c r="N63" s="64" t="s">
        <v>406</v>
      </c>
    </row>
    <row r="64" spans="2:14" x14ac:dyDescent="0.45">
      <c r="B64" s="54" t="s">
        <v>407</v>
      </c>
      <c r="C64" s="54" t="s">
        <v>408</v>
      </c>
      <c r="D64" s="54" t="s">
        <v>409</v>
      </c>
      <c r="E64" s="59" t="s">
        <v>410</v>
      </c>
      <c r="F64" s="54" t="s">
        <v>411</v>
      </c>
      <c r="G64" s="54" t="s">
        <v>131</v>
      </c>
      <c r="H64" s="54" t="s">
        <v>132</v>
      </c>
      <c r="I64" s="54" t="s">
        <v>133</v>
      </c>
      <c r="J64" s="56">
        <v>190000</v>
      </c>
      <c r="K64" s="57" t="s">
        <v>370</v>
      </c>
      <c r="L64" s="57" t="s">
        <v>297</v>
      </c>
      <c r="M64" s="64"/>
      <c r="N64" s="64" t="s">
        <v>408</v>
      </c>
    </row>
    <row r="65" spans="2:14" x14ac:dyDescent="0.45">
      <c r="B65" s="67"/>
      <c r="C65" s="67"/>
      <c r="D65" s="67"/>
      <c r="E65" s="71"/>
      <c r="F65" s="67" t="s">
        <v>130</v>
      </c>
      <c r="G65" s="67"/>
      <c r="H65" s="67"/>
      <c r="I65" s="67"/>
      <c r="J65" s="69"/>
      <c r="K65" s="70"/>
      <c r="L65" s="70"/>
      <c r="M65" s="94"/>
      <c r="N65" s="94"/>
    </row>
    <row r="66" spans="2:14" x14ac:dyDescent="0.45">
      <c r="B66" s="54" t="s">
        <v>93</v>
      </c>
      <c r="C66" s="54" t="s">
        <v>412</v>
      </c>
      <c r="D66" s="54" t="s">
        <v>413</v>
      </c>
      <c r="E66" s="59" t="s">
        <v>414</v>
      </c>
      <c r="F66" s="54" t="s">
        <v>130</v>
      </c>
      <c r="G66" s="54" t="s">
        <v>131</v>
      </c>
      <c r="H66" s="54" t="s">
        <v>132</v>
      </c>
      <c r="I66" s="54" t="s">
        <v>133</v>
      </c>
      <c r="J66" s="56">
        <v>2840000</v>
      </c>
      <c r="K66" s="57" t="s">
        <v>415</v>
      </c>
      <c r="L66" s="57" t="s">
        <v>135</v>
      </c>
      <c r="M66" s="65" t="s">
        <v>416</v>
      </c>
      <c r="N66" s="65" t="s">
        <v>130</v>
      </c>
    </row>
    <row r="67" spans="2:14" x14ac:dyDescent="0.45">
      <c r="B67" s="54" t="s">
        <v>417</v>
      </c>
      <c r="C67" s="54" t="s">
        <v>412</v>
      </c>
      <c r="D67" s="54" t="s">
        <v>418</v>
      </c>
      <c r="E67" s="59" t="s">
        <v>419</v>
      </c>
      <c r="F67" s="54" t="s">
        <v>130</v>
      </c>
      <c r="G67" s="54" t="s">
        <v>131</v>
      </c>
      <c r="H67" s="54" t="s">
        <v>132</v>
      </c>
      <c r="I67" s="54" t="s">
        <v>133</v>
      </c>
      <c r="J67" s="56">
        <v>2110000</v>
      </c>
      <c r="K67" s="57" t="s">
        <v>415</v>
      </c>
      <c r="L67" s="57" t="s">
        <v>135</v>
      </c>
      <c r="M67" s="65" t="s">
        <v>416</v>
      </c>
      <c r="N67" s="65" t="s">
        <v>130</v>
      </c>
    </row>
    <row r="68" spans="2:14" x14ac:dyDescent="0.45">
      <c r="B68" s="54" t="s">
        <v>75</v>
      </c>
      <c r="C68" s="54" t="s">
        <v>412</v>
      </c>
      <c r="D68" s="54" t="s">
        <v>420</v>
      </c>
      <c r="E68" s="59" t="s">
        <v>421</v>
      </c>
      <c r="F68" s="54" t="s">
        <v>130</v>
      </c>
      <c r="G68" s="54" t="s">
        <v>131</v>
      </c>
      <c r="H68" s="54" t="s">
        <v>132</v>
      </c>
      <c r="I68" s="54" t="s">
        <v>133</v>
      </c>
      <c r="J68" s="56">
        <v>1325500</v>
      </c>
      <c r="K68" s="57" t="s">
        <v>415</v>
      </c>
      <c r="L68" s="57" t="s">
        <v>135</v>
      </c>
      <c r="M68" s="65" t="s">
        <v>416</v>
      </c>
      <c r="N68" s="65" t="s">
        <v>130</v>
      </c>
    </row>
    <row r="69" spans="2:14" x14ac:dyDescent="0.45">
      <c r="B69" s="54" t="s">
        <v>422</v>
      </c>
      <c r="C69" s="54" t="s">
        <v>423</v>
      </c>
      <c r="D69" s="54" t="s">
        <v>424</v>
      </c>
      <c r="E69" s="59" t="s">
        <v>425</v>
      </c>
      <c r="F69" s="54" t="s">
        <v>130</v>
      </c>
      <c r="G69" s="54" t="s">
        <v>131</v>
      </c>
      <c r="H69" s="54" t="s">
        <v>132</v>
      </c>
      <c r="I69" s="54" t="s">
        <v>133</v>
      </c>
      <c r="J69" s="56"/>
      <c r="K69" s="57" t="s">
        <v>415</v>
      </c>
      <c r="L69" s="57" t="s">
        <v>135</v>
      </c>
      <c r="M69" s="65" t="s">
        <v>130</v>
      </c>
      <c r="N69" s="65" t="s">
        <v>130</v>
      </c>
    </row>
    <row r="70" spans="2:14" x14ac:dyDescent="0.45">
      <c r="B70" s="54" t="s">
        <v>426</v>
      </c>
      <c r="C70" s="54" t="s">
        <v>423</v>
      </c>
      <c r="D70" s="54" t="s">
        <v>427</v>
      </c>
      <c r="E70" s="59" t="s">
        <v>428</v>
      </c>
      <c r="F70" s="54" t="s">
        <v>130</v>
      </c>
      <c r="G70" s="54" t="s">
        <v>131</v>
      </c>
      <c r="H70" s="54" t="s">
        <v>132</v>
      </c>
      <c r="I70" s="54" t="s">
        <v>133</v>
      </c>
      <c r="J70" s="56">
        <v>510000</v>
      </c>
      <c r="K70" s="57" t="s">
        <v>415</v>
      </c>
      <c r="L70" s="57" t="s">
        <v>135</v>
      </c>
      <c r="M70" s="65" t="s">
        <v>130</v>
      </c>
      <c r="N70" s="65" t="s">
        <v>130</v>
      </c>
    </row>
    <row r="71" spans="2:14" x14ac:dyDescent="0.45">
      <c r="B71" s="67"/>
      <c r="C71" s="67"/>
      <c r="D71" s="67"/>
      <c r="E71" s="71"/>
      <c r="F71" s="67" t="s">
        <v>130</v>
      </c>
      <c r="G71" s="67"/>
      <c r="H71" s="67"/>
      <c r="I71" s="67"/>
      <c r="J71" s="69"/>
      <c r="K71" s="70"/>
      <c r="L71" s="70"/>
      <c r="M71" s="94"/>
      <c r="N71" s="94"/>
    </row>
    <row r="72" spans="2:14" x14ac:dyDescent="0.45">
      <c r="B72" s="54" t="s">
        <v>113</v>
      </c>
      <c r="C72" s="54" t="s">
        <v>429</v>
      </c>
      <c r="D72" s="54" t="s">
        <v>430</v>
      </c>
      <c r="E72" s="59" t="s">
        <v>431</v>
      </c>
      <c r="F72" s="54" t="s">
        <v>130</v>
      </c>
      <c r="G72" s="54" t="s">
        <v>295</v>
      </c>
      <c r="H72" s="54" t="s">
        <v>302</v>
      </c>
      <c r="I72" s="54" t="s">
        <v>207</v>
      </c>
      <c r="J72" s="56">
        <v>505000</v>
      </c>
      <c r="K72" s="57" t="s">
        <v>237</v>
      </c>
      <c r="L72" s="57" t="s">
        <v>297</v>
      </c>
      <c r="M72" s="65" t="s">
        <v>432</v>
      </c>
      <c r="N72" s="65" t="s">
        <v>126</v>
      </c>
    </row>
    <row r="73" spans="2:14" x14ac:dyDescent="0.45">
      <c r="B73" s="54" t="s">
        <v>433</v>
      </c>
      <c r="C73" s="54" t="s">
        <v>429</v>
      </c>
      <c r="D73" s="54" t="s">
        <v>434</v>
      </c>
      <c r="E73" s="59" t="s">
        <v>435</v>
      </c>
      <c r="F73" s="54" t="s">
        <v>130</v>
      </c>
      <c r="G73" s="54" t="s">
        <v>295</v>
      </c>
      <c r="H73" s="54" t="s">
        <v>302</v>
      </c>
      <c r="I73" s="54" t="s">
        <v>207</v>
      </c>
      <c r="J73" s="56">
        <v>505000</v>
      </c>
      <c r="K73" s="57" t="s">
        <v>237</v>
      </c>
      <c r="L73" s="57" t="s">
        <v>297</v>
      </c>
      <c r="M73" s="65" t="s">
        <v>432</v>
      </c>
      <c r="N73" s="65" t="s">
        <v>126</v>
      </c>
    </row>
    <row r="74" spans="2:14" x14ac:dyDescent="0.45">
      <c r="B74" s="54" t="s">
        <v>436</v>
      </c>
      <c r="C74" s="54" t="s">
        <v>429</v>
      </c>
      <c r="D74" s="54" t="s">
        <v>437</v>
      </c>
      <c r="E74" s="59" t="s">
        <v>438</v>
      </c>
      <c r="F74" s="54" t="s">
        <v>130</v>
      </c>
      <c r="G74" s="54" t="s">
        <v>295</v>
      </c>
      <c r="H74" s="54" t="s">
        <v>302</v>
      </c>
      <c r="I74" s="54" t="s">
        <v>207</v>
      </c>
      <c r="J74" s="56">
        <v>1800000</v>
      </c>
      <c r="K74" s="57" t="s">
        <v>237</v>
      </c>
      <c r="L74" s="57" t="s">
        <v>297</v>
      </c>
      <c r="M74" s="65" t="s">
        <v>126</v>
      </c>
      <c r="N74" s="65" t="s">
        <v>130</v>
      </c>
    </row>
    <row r="75" spans="2:14" x14ac:dyDescent="0.45">
      <c r="B75" s="54" t="s">
        <v>116</v>
      </c>
      <c r="C75" s="54" t="s">
        <v>439</v>
      </c>
      <c r="D75" s="54" t="s">
        <v>440</v>
      </c>
      <c r="E75" s="59" t="s">
        <v>441</v>
      </c>
      <c r="F75" s="54" t="s">
        <v>130</v>
      </c>
      <c r="G75" s="54" t="s">
        <v>131</v>
      </c>
      <c r="H75" s="54" t="s">
        <v>132</v>
      </c>
      <c r="I75" s="54" t="s">
        <v>133</v>
      </c>
      <c r="J75" s="56">
        <v>72000</v>
      </c>
      <c r="K75" s="57" t="s">
        <v>442</v>
      </c>
      <c r="L75" s="57" t="s">
        <v>135</v>
      </c>
      <c r="M75" s="65" t="s">
        <v>130</v>
      </c>
      <c r="N75" s="65" t="s">
        <v>443</v>
      </c>
    </row>
    <row r="76" spans="2:14" x14ac:dyDescent="0.45">
      <c r="B76" s="54" t="s">
        <v>115</v>
      </c>
      <c r="C76" s="54" t="s">
        <v>444</v>
      </c>
      <c r="D76" s="54" t="s">
        <v>445</v>
      </c>
      <c r="E76" s="59" t="s">
        <v>446</v>
      </c>
      <c r="F76" s="54" t="s">
        <v>130</v>
      </c>
      <c r="G76" s="54" t="s">
        <v>131</v>
      </c>
      <c r="H76" s="54" t="s">
        <v>447</v>
      </c>
      <c r="I76" s="54" t="s">
        <v>133</v>
      </c>
      <c r="J76" s="56">
        <v>50000</v>
      </c>
      <c r="K76" s="57" t="s">
        <v>291</v>
      </c>
      <c r="L76" s="57" t="s">
        <v>135</v>
      </c>
      <c r="M76" s="65" t="s">
        <v>130</v>
      </c>
      <c r="N76" s="65" t="s">
        <v>448</v>
      </c>
    </row>
    <row r="77" spans="2:14" x14ac:dyDescent="0.45">
      <c r="B77" s="54" t="s">
        <v>87</v>
      </c>
      <c r="C77" s="54" t="s">
        <v>449</v>
      </c>
      <c r="D77" s="54" t="s">
        <v>450</v>
      </c>
      <c r="E77" s="59" t="s">
        <v>451</v>
      </c>
      <c r="F77" s="54" t="s">
        <v>130</v>
      </c>
      <c r="G77" s="54" t="s">
        <v>131</v>
      </c>
      <c r="H77" s="54" t="s">
        <v>447</v>
      </c>
      <c r="I77" s="54" t="s">
        <v>133</v>
      </c>
      <c r="J77" s="56">
        <v>1200000</v>
      </c>
      <c r="K77" s="57" t="s">
        <v>452</v>
      </c>
      <c r="L77" s="57" t="s">
        <v>135</v>
      </c>
      <c r="M77" s="65" t="s">
        <v>453</v>
      </c>
      <c r="N77" s="65" t="s">
        <v>454</v>
      </c>
    </row>
    <row r="78" spans="2:14" x14ac:dyDescent="0.45">
      <c r="B78" s="54" t="s">
        <v>88</v>
      </c>
      <c r="C78" s="54" t="s">
        <v>455</v>
      </c>
      <c r="D78" s="54" t="s">
        <v>456</v>
      </c>
      <c r="E78" s="59" t="s">
        <v>457</v>
      </c>
      <c r="F78" s="54" t="s">
        <v>130</v>
      </c>
      <c r="G78" s="54" t="s">
        <v>131</v>
      </c>
      <c r="H78" s="54" t="s">
        <v>132</v>
      </c>
      <c r="I78" s="54" t="s">
        <v>133</v>
      </c>
      <c r="J78" s="56">
        <v>3900000</v>
      </c>
      <c r="K78" s="57" t="s">
        <v>237</v>
      </c>
      <c r="L78" s="57" t="s">
        <v>135</v>
      </c>
      <c r="M78" s="65" t="s">
        <v>130</v>
      </c>
      <c r="N78" s="65" t="s">
        <v>305</v>
      </c>
    </row>
    <row r="79" spans="2:14" x14ac:dyDescent="0.45">
      <c r="B79" s="54" t="s">
        <v>458</v>
      </c>
      <c r="C79" s="54" t="s">
        <v>459</v>
      </c>
      <c r="D79" s="54" t="s">
        <v>460</v>
      </c>
      <c r="E79" s="59" t="s">
        <v>461</v>
      </c>
      <c r="F79" s="54" t="s">
        <v>130</v>
      </c>
      <c r="G79" s="54" t="s">
        <v>295</v>
      </c>
      <c r="H79" s="54" t="s">
        <v>302</v>
      </c>
      <c r="I79" s="54" t="s">
        <v>207</v>
      </c>
      <c r="J79" s="56">
        <v>50000</v>
      </c>
      <c r="K79" s="57" t="s">
        <v>208</v>
      </c>
      <c r="L79" s="57" t="s">
        <v>297</v>
      </c>
      <c r="M79" s="65" t="s">
        <v>130</v>
      </c>
      <c r="N79" s="65" t="s">
        <v>130</v>
      </c>
    </row>
    <row r="80" spans="2:14" x14ac:dyDescent="0.45">
      <c r="B80" s="54" t="s">
        <v>462</v>
      </c>
      <c r="C80" s="54" t="s">
        <v>429</v>
      </c>
      <c r="D80" s="54" t="s">
        <v>463</v>
      </c>
      <c r="E80" s="59" t="s">
        <v>464</v>
      </c>
      <c r="F80" s="54" t="s">
        <v>130</v>
      </c>
      <c r="G80" s="54" t="s">
        <v>295</v>
      </c>
      <c r="H80" s="54" t="s">
        <v>302</v>
      </c>
      <c r="I80" s="54" t="s">
        <v>207</v>
      </c>
      <c r="J80" s="56">
        <v>1100000</v>
      </c>
      <c r="K80" s="57" t="s">
        <v>179</v>
      </c>
      <c r="L80" s="57" t="s">
        <v>297</v>
      </c>
      <c r="M80" s="65" t="s">
        <v>130</v>
      </c>
      <c r="N80" s="65" t="s">
        <v>130</v>
      </c>
    </row>
    <row r="81" spans="2:14" x14ac:dyDescent="0.45">
      <c r="B81" s="54" t="s">
        <v>465</v>
      </c>
      <c r="C81" s="54" t="s">
        <v>429</v>
      </c>
      <c r="D81" s="54" t="s">
        <v>466</v>
      </c>
      <c r="E81" s="59" t="s">
        <v>467</v>
      </c>
      <c r="F81" s="54" t="s">
        <v>130</v>
      </c>
      <c r="G81" s="54" t="s">
        <v>295</v>
      </c>
      <c r="H81" s="54" t="s">
        <v>302</v>
      </c>
      <c r="I81" s="54" t="s">
        <v>207</v>
      </c>
      <c r="J81" s="56">
        <v>505000</v>
      </c>
      <c r="K81" s="57" t="s">
        <v>237</v>
      </c>
      <c r="L81" s="57" t="s">
        <v>297</v>
      </c>
      <c r="M81" s="65" t="s">
        <v>432</v>
      </c>
      <c r="N81" s="65" t="s">
        <v>130</v>
      </c>
    </row>
    <row r="82" spans="2:14" x14ac:dyDescent="0.45">
      <c r="B82" s="54" t="s">
        <v>468</v>
      </c>
      <c r="C82" s="54" t="s">
        <v>469</v>
      </c>
      <c r="D82" s="54" t="s">
        <v>470</v>
      </c>
      <c r="E82" s="59" t="s">
        <v>471</v>
      </c>
      <c r="F82" s="54" t="s">
        <v>130</v>
      </c>
      <c r="G82" s="54" t="s">
        <v>131</v>
      </c>
      <c r="H82" s="54" t="s">
        <v>132</v>
      </c>
      <c r="I82" s="54" t="s">
        <v>133</v>
      </c>
      <c r="J82" s="56">
        <v>230000</v>
      </c>
      <c r="K82" s="57" t="s">
        <v>314</v>
      </c>
      <c r="L82" s="57" t="s">
        <v>297</v>
      </c>
      <c r="M82" s="65" t="s">
        <v>130</v>
      </c>
      <c r="N82" s="65" t="s">
        <v>472</v>
      </c>
    </row>
    <row r="83" spans="2:14" x14ac:dyDescent="0.45">
      <c r="B83" s="54" t="s">
        <v>72</v>
      </c>
      <c r="C83" s="54" t="s">
        <v>473</v>
      </c>
      <c r="D83" s="54" t="s">
        <v>474</v>
      </c>
      <c r="E83" s="59" t="s">
        <v>475</v>
      </c>
      <c r="F83" s="54" t="s">
        <v>130</v>
      </c>
      <c r="G83" s="54" t="s">
        <v>295</v>
      </c>
      <c r="H83" s="54" t="s">
        <v>302</v>
      </c>
      <c r="I83" s="54" t="s">
        <v>207</v>
      </c>
      <c r="J83" s="63">
        <v>150000</v>
      </c>
      <c r="K83" s="58" t="s">
        <v>476</v>
      </c>
      <c r="L83" s="57" t="s">
        <v>297</v>
      </c>
      <c r="M83" s="65" t="s">
        <v>130</v>
      </c>
      <c r="N83" s="65" t="s">
        <v>477</v>
      </c>
    </row>
    <row r="84" spans="2:14" x14ac:dyDescent="0.45">
      <c r="B84" s="54" t="s">
        <v>65</v>
      </c>
      <c r="C84" s="54" t="s">
        <v>478</v>
      </c>
      <c r="D84" s="54" t="s">
        <v>479</v>
      </c>
      <c r="E84" s="59" t="s">
        <v>480</v>
      </c>
      <c r="F84" s="54" t="s">
        <v>130</v>
      </c>
      <c r="G84" s="54" t="s">
        <v>295</v>
      </c>
      <c r="H84" s="54" t="s">
        <v>302</v>
      </c>
      <c r="I84" s="54" t="s">
        <v>207</v>
      </c>
      <c r="J84" s="63">
        <v>95000</v>
      </c>
      <c r="K84" s="58" t="s">
        <v>442</v>
      </c>
      <c r="L84" s="57" t="s">
        <v>297</v>
      </c>
      <c r="M84" s="65" t="s">
        <v>130</v>
      </c>
      <c r="N84" s="65" t="s">
        <v>481</v>
      </c>
    </row>
    <row r="85" spans="2:14" x14ac:dyDescent="0.45">
      <c r="B85" s="54" t="s">
        <v>73</v>
      </c>
      <c r="C85" s="54" t="s">
        <v>482</v>
      </c>
      <c r="D85" s="54" t="s">
        <v>483</v>
      </c>
      <c r="E85" s="59" t="s">
        <v>484</v>
      </c>
      <c r="F85" s="54" t="s">
        <v>130</v>
      </c>
      <c r="G85" s="54" t="s">
        <v>295</v>
      </c>
      <c r="H85" s="54" t="s">
        <v>302</v>
      </c>
      <c r="I85" s="54" t="s">
        <v>207</v>
      </c>
      <c r="J85" s="63">
        <v>77000</v>
      </c>
      <c r="K85" s="58" t="s">
        <v>485</v>
      </c>
      <c r="L85" s="57" t="s">
        <v>297</v>
      </c>
      <c r="M85" s="65" t="s">
        <v>130</v>
      </c>
      <c r="N85" s="65" t="s">
        <v>486</v>
      </c>
    </row>
    <row r="86" spans="2:14" x14ac:dyDescent="0.45">
      <c r="B86" s="54" t="s">
        <v>487</v>
      </c>
      <c r="C86" s="54" t="s">
        <v>488</v>
      </c>
      <c r="D86" s="54" t="s">
        <v>489</v>
      </c>
      <c r="E86" s="59"/>
      <c r="F86" s="54" t="s">
        <v>130</v>
      </c>
      <c r="G86" s="54" t="s">
        <v>295</v>
      </c>
      <c r="H86" s="54" t="s">
        <v>302</v>
      </c>
      <c r="I86" s="54" t="s">
        <v>207</v>
      </c>
      <c r="J86" s="63">
        <v>280000</v>
      </c>
      <c r="K86" s="58" t="s">
        <v>490</v>
      </c>
      <c r="L86" s="57" t="s">
        <v>297</v>
      </c>
      <c r="M86" s="65" t="s">
        <v>130</v>
      </c>
      <c r="N86" s="65" t="s">
        <v>491</v>
      </c>
    </row>
    <row r="87" spans="2:14" x14ac:dyDescent="0.45">
      <c r="B87" s="54" t="s">
        <v>492</v>
      </c>
      <c r="C87" s="54" t="s">
        <v>493</v>
      </c>
      <c r="D87" s="54" t="s">
        <v>494</v>
      </c>
      <c r="E87" s="59"/>
      <c r="F87" s="54" t="s">
        <v>130</v>
      </c>
      <c r="G87" s="54" t="s">
        <v>295</v>
      </c>
      <c r="H87" s="54" t="s">
        <v>302</v>
      </c>
      <c r="I87" s="54" t="s">
        <v>207</v>
      </c>
      <c r="J87" s="63">
        <v>195000</v>
      </c>
      <c r="K87" s="57" t="s">
        <v>385</v>
      </c>
      <c r="L87" s="57" t="s">
        <v>297</v>
      </c>
      <c r="M87" s="65" t="s">
        <v>130</v>
      </c>
      <c r="N87" s="65" t="s">
        <v>130</v>
      </c>
    </row>
    <row r="88" spans="2:14" x14ac:dyDescent="0.45">
      <c r="B88" s="54" t="s">
        <v>102</v>
      </c>
      <c r="C88" s="54" t="s">
        <v>429</v>
      </c>
      <c r="D88" s="54" t="s">
        <v>495</v>
      </c>
      <c r="E88" s="59" t="s">
        <v>496</v>
      </c>
      <c r="F88" s="54" t="s">
        <v>130</v>
      </c>
      <c r="G88" s="54" t="s">
        <v>295</v>
      </c>
      <c r="H88" s="54" t="s">
        <v>302</v>
      </c>
      <c r="I88" s="54" t="s">
        <v>207</v>
      </c>
      <c r="J88" s="63">
        <v>505000</v>
      </c>
      <c r="K88" s="57" t="s">
        <v>237</v>
      </c>
      <c r="L88" s="57" t="s">
        <v>297</v>
      </c>
      <c r="M88" s="65" t="s">
        <v>432</v>
      </c>
      <c r="N88" s="65" t="s">
        <v>130</v>
      </c>
    </row>
    <row r="89" spans="2:14" x14ac:dyDescent="0.45">
      <c r="B89" s="54" t="s">
        <v>497</v>
      </c>
      <c r="C89" s="54" t="s">
        <v>498</v>
      </c>
      <c r="D89" s="54" t="s">
        <v>499</v>
      </c>
      <c r="E89" s="55" t="s">
        <v>500</v>
      </c>
      <c r="F89" s="54" t="s">
        <v>130</v>
      </c>
      <c r="G89" s="54" t="s">
        <v>295</v>
      </c>
      <c r="H89" s="54" t="s">
        <v>302</v>
      </c>
      <c r="I89" s="54" t="s">
        <v>207</v>
      </c>
      <c r="J89" s="63">
        <v>190000</v>
      </c>
      <c r="K89" s="58" t="s">
        <v>501</v>
      </c>
      <c r="L89" s="57" t="s">
        <v>297</v>
      </c>
      <c r="M89" s="65" t="s">
        <v>130</v>
      </c>
      <c r="N89" s="59" t="s">
        <v>502</v>
      </c>
    </row>
    <row r="90" spans="2:14" x14ac:dyDescent="0.45">
      <c r="B90" s="54" t="s">
        <v>76</v>
      </c>
      <c r="C90" s="95" t="s">
        <v>503</v>
      </c>
      <c r="D90" s="54" t="s">
        <v>504</v>
      </c>
      <c r="E90" s="96" t="s">
        <v>505</v>
      </c>
      <c r="F90" s="54" t="s">
        <v>130</v>
      </c>
      <c r="G90" s="54" t="s">
        <v>295</v>
      </c>
      <c r="H90" s="54" t="s">
        <v>302</v>
      </c>
      <c r="I90" s="54" t="s">
        <v>207</v>
      </c>
      <c r="J90" s="97">
        <v>10800</v>
      </c>
      <c r="K90" s="98" t="s">
        <v>442</v>
      </c>
      <c r="L90" s="57" t="s">
        <v>297</v>
      </c>
      <c r="M90" s="65" t="s">
        <v>130</v>
      </c>
      <c r="N90" s="65" t="s">
        <v>130</v>
      </c>
    </row>
    <row r="91" spans="2:14" x14ac:dyDescent="0.45">
      <c r="B91" s="54" t="s">
        <v>77</v>
      </c>
      <c r="C91" s="95" t="s">
        <v>506</v>
      </c>
      <c r="D91" s="54" t="s">
        <v>507</v>
      </c>
      <c r="E91" s="96" t="s">
        <v>505</v>
      </c>
      <c r="F91" s="54" t="s">
        <v>130</v>
      </c>
      <c r="G91" s="54" t="s">
        <v>295</v>
      </c>
      <c r="H91" s="54" t="s">
        <v>302</v>
      </c>
      <c r="I91" s="54" t="s">
        <v>207</v>
      </c>
      <c r="J91" s="97">
        <v>9900</v>
      </c>
      <c r="K91" s="98" t="s">
        <v>508</v>
      </c>
      <c r="L91" s="57" t="s">
        <v>297</v>
      </c>
      <c r="M91" s="65" t="s">
        <v>130</v>
      </c>
      <c r="N91" s="65" t="s">
        <v>130</v>
      </c>
    </row>
    <row r="92" spans="2:14" x14ac:dyDescent="0.45">
      <c r="B92" s="54" t="s">
        <v>509</v>
      </c>
      <c r="C92" s="95" t="s">
        <v>510</v>
      </c>
      <c r="D92" s="54" t="s">
        <v>511</v>
      </c>
      <c r="E92" s="96" t="s">
        <v>512</v>
      </c>
      <c r="F92" s="95"/>
      <c r="G92" s="54" t="s">
        <v>295</v>
      </c>
      <c r="H92" s="54" t="s">
        <v>302</v>
      </c>
      <c r="I92" s="54" t="s">
        <v>207</v>
      </c>
      <c r="J92" s="97">
        <v>25000</v>
      </c>
      <c r="K92" s="98" t="s">
        <v>442</v>
      </c>
      <c r="L92" s="57" t="s">
        <v>297</v>
      </c>
      <c r="M92" s="65" t="s">
        <v>130</v>
      </c>
      <c r="N92" s="99" t="s">
        <v>513</v>
      </c>
    </row>
    <row r="93" spans="2:14" x14ac:dyDescent="0.45">
      <c r="B93" s="54" t="s">
        <v>514</v>
      </c>
      <c r="C93" s="54" t="s">
        <v>429</v>
      </c>
      <c r="D93" s="54" t="s">
        <v>515</v>
      </c>
      <c r="E93" s="59" t="s">
        <v>516</v>
      </c>
      <c r="F93" s="54" t="s">
        <v>130</v>
      </c>
      <c r="G93" s="54" t="s">
        <v>295</v>
      </c>
      <c r="H93" s="54" t="s">
        <v>302</v>
      </c>
      <c r="I93" s="54" t="s">
        <v>207</v>
      </c>
      <c r="J93" s="56">
        <v>505000</v>
      </c>
      <c r="K93" s="57" t="s">
        <v>237</v>
      </c>
      <c r="L93" s="57" t="s">
        <v>297</v>
      </c>
      <c r="M93" s="65" t="s">
        <v>432</v>
      </c>
      <c r="N93" s="65" t="s">
        <v>130</v>
      </c>
    </row>
    <row r="94" spans="2:14" x14ac:dyDescent="0.45">
      <c r="B94" s="54" t="s">
        <v>517</v>
      </c>
      <c r="C94" s="54" t="s">
        <v>449</v>
      </c>
      <c r="D94" s="54" t="s">
        <v>518</v>
      </c>
      <c r="E94" s="59" t="s">
        <v>451</v>
      </c>
      <c r="F94" s="54" t="s">
        <v>130</v>
      </c>
      <c r="G94" s="54" t="s">
        <v>131</v>
      </c>
      <c r="H94" s="54" t="s">
        <v>447</v>
      </c>
      <c r="I94" s="54" t="s">
        <v>133</v>
      </c>
      <c r="J94" s="56">
        <v>1580000</v>
      </c>
      <c r="K94" s="57" t="s">
        <v>452</v>
      </c>
      <c r="L94" s="57" t="s">
        <v>135</v>
      </c>
      <c r="M94" s="65" t="s">
        <v>519</v>
      </c>
      <c r="N94" s="65" t="s">
        <v>520</v>
      </c>
    </row>
  </sheetData>
  <mergeCells count="2">
    <mergeCell ref="S4:V4"/>
    <mergeCell ref="X4:Y4"/>
  </mergeCells>
  <phoneticPr fontId="3" type="noConversion"/>
  <printOptions horizontalCentered="1"/>
  <pageMargins left="0.70866141732283472" right="0.70866141732283472" top="0.74803149606299213" bottom="0.74803149606299213" header="0.31496062992125984" footer="0.31496062992125984"/>
  <pageSetup paperSize="9" scale="62" fitToHeight="111" orientation="landscape" r:id="rId1"/>
  <headerFooter>
    <oddFooter>&amp;L_x000D_&amp;1#&amp;"Calibri"&amp;9&amp;K000000 Confidential | AVIKUS – Unauthorized distribution is strictly prohibited</oddFoot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C33C0-E38D-4D6D-B1C4-6D95598EC17E}">
  <sheetPr>
    <pageSetUpPr fitToPage="1"/>
  </sheetPr>
  <dimension ref="B1:G21"/>
  <sheetViews>
    <sheetView showGridLines="0" zoomScaleNormal="100" workbookViewId="0">
      <selection activeCell="N10" sqref="N10"/>
    </sheetView>
  </sheetViews>
  <sheetFormatPr defaultRowHeight="17" x14ac:dyDescent="0.45"/>
  <cols>
    <col min="1" max="1" width="2.58203125" style="2" customWidth="1"/>
    <col min="2" max="2" width="12.58203125" style="2" customWidth="1"/>
    <col min="3" max="3" width="11.58203125" style="2" bestFit="1" customWidth="1"/>
    <col min="4" max="4" width="33.5" style="2" customWidth="1"/>
    <col min="5" max="5" width="32.5" style="2" customWidth="1"/>
    <col min="6" max="6" width="12.6640625" style="2" customWidth="1"/>
    <col min="7" max="7" width="27.6640625" style="2" customWidth="1"/>
    <col min="8" max="16384" width="8.6640625" style="2"/>
  </cols>
  <sheetData>
    <row r="1" spans="2:7" ht="26" x14ac:dyDescent="0.45">
      <c r="B1" s="100" t="s">
        <v>521</v>
      </c>
      <c r="C1" s="100"/>
    </row>
    <row r="3" spans="2:7" ht="34" x14ac:dyDescent="0.45">
      <c r="B3" s="23" t="s">
        <v>522</v>
      </c>
      <c r="C3" s="23" t="s">
        <v>523</v>
      </c>
      <c r="D3" s="23" t="s">
        <v>524</v>
      </c>
      <c r="E3" s="23" t="s">
        <v>525</v>
      </c>
      <c r="F3" s="101" t="s">
        <v>51</v>
      </c>
      <c r="G3" s="101" t="s">
        <v>124</v>
      </c>
    </row>
    <row r="4" spans="2:7" x14ac:dyDescent="0.45">
      <c r="B4" s="102" t="s">
        <v>526</v>
      </c>
      <c r="C4" s="5" t="s">
        <v>527</v>
      </c>
      <c r="D4" s="4" t="s">
        <v>528</v>
      </c>
      <c r="E4" s="4"/>
      <c r="F4" s="4"/>
      <c r="G4" s="4"/>
    </row>
    <row r="5" spans="2:7" x14ac:dyDescent="0.45">
      <c r="B5" s="103"/>
      <c r="C5" s="5" t="s">
        <v>529</v>
      </c>
      <c r="D5" s="4" t="s">
        <v>530</v>
      </c>
      <c r="E5" s="4"/>
      <c r="F5" s="4"/>
      <c r="G5" s="4"/>
    </row>
    <row r="6" spans="2:7" x14ac:dyDescent="0.45">
      <c r="B6" s="103"/>
      <c r="C6" s="5" t="s">
        <v>531</v>
      </c>
      <c r="D6" s="4" t="s">
        <v>532</v>
      </c>
      <c r="E6" s="4"/>
      <c r="F6" s="4"/>
      <c r="G6" s="4"/>
    </row>
    <row r="7" spans="2:7" x14ac:dyDescent="0.45">
      <c r="B7" s="103"/>
      <c r="C7" s="5" t="s">
        <v>533</v>
      </c>
      <c r="D7" s="4" t="s">
        <v>534</v>
      </c>
      <c r="E7" s="4"/>
      <c r="F7" s="4"/>
      <c r="G7" s="4"/>
    </row>
    <row r="8" spans="2:7" x14ac:dyDescent="0.45">
      <c r="B8" s="103"/>
      <c r="C8" s="5" t="s">
        <v>535</v>
      </c>
      <c r="D8" s="4" t="s">
        <v>536</v>
      </c>
      <c r="E8" s="4"/>
      <c r="F8" s="4"/>
      <c r="G8" s="4"/>
    </row>
    <row r="9" spans="2:7" x14ac:dyDescent="0.45">
      <c r="B9" s="103"/>
      <c r="C9" s="5" t="s">
        <v>537</v>
      </c>
      <c r="D9" s="38" t="s">
        <v>538</v>
      </c>
      <c r="E9" s="4"/>
      <c r="F9" s="4"/>
      <c r="G9" s="4"/>
    </row>
    <row r="10" spans="2:7" x14ac:dyDescent="0.45">
      <c r="B10" s="103"/>
      <c r="C10" s="5" t="s">
        <v>539</v>
      </c>
      <c r="D10" s="4" t="s">
        <v>540</v>
      </c>
      <c r="E10" s="4"/>
      <c r="F10" s="4"/>
      <c r="G10" s="4"/>
    </row>
    <row r="11" spans="2:7" x14ac:dyDescent="0.45">
      <c r="B11" s="103"/>
      <c r="C11" s="5" t="s">
        <v>541</v>
      </c>
      <c r="D11" s="4" t="s">
        <v>542</v>
      </c>
      <c r="E11" s="4"/>
      <c r="F11" s="4"/>
      <c r="G11" s="4"/>
    </row>
    <row r="12" spans="2:7" x14ac:dyDescent="0.45">
      <c r="B12" s="103"/>
      <c r="C12" s="5" t="s">
        <v>29</v>
      </c>
      <c r="D12" s="4" t="s">
        <v>543</v>
      </c>
      <c r="E12" s="4"/>
      <c r="F12" s="4"/>
      <c r="G12" s="4"/>
    </row>
    <row r="13" spans="2:7" x14ac:dyDescent="0.45">
      <c r="B13" s="103"/>
      <c r="C13" s="5" t="s">
        <v>30</v>
      </c>
      <c r="D13" s="4" t="s">
        <v>544</v>
      </c>
      <c r="E13" s="4"/>
      <c r="F13" s="4"/>
      <c r="G13" s="4"/>
    </row>
    <row r="14" spans="2:7" x14ac:dyDescent="0.45">
      <c r="B14" s="103"/>
      <c r="C14" s="5" t="s">
        <v>31</v>
      </c>
      <c r="D14" s="4" t="s">
        <v>545</v>
      </c>
      <c r="E14" s="4"/>
      <c r="F14" s="4"/>
      <c r="G14" s="4"/>
    </row>
    <row r="15" spans="2:7" x14ac:dyDescent="0.45">
      <c r="B15" s="103"/>
      <c r="C15" s="5" t="s">
        <v>33</v>
      </c>
      <c r="D15" s="4" t="s">
        <v>546</v>
      </c>
      <c r="E15" s="4"/>
      <c r="F15" s="4"/>
      <c r="G15" s="4"/>
    </row>
    <row r="16" spans="2:7" x14ac:dyDescent="0.45">
      <c r="B16" s="103"/>
      <c r="C16" s="5" t="s">
        <v>34</v>
      </c>
      <c r="D16" s="4" t="s">
        <v>547</v>
      </c>
      <c r="E16" s="4"/>
      <c r="F16" s="4"/>
      <c r="G16" s="4"/>
    </row>
    <row r="17" spans="2:7" x14ac:dyDescent="0.45">
      <c r="B17" s="102" t="s">
        <v>548</v>
      </c>
      <c r="C17" s="5" t="s">
        <v>549</v>
      </c>
      <c r="D17" s="4" t="s">
        <v>550</v>
      </c>
      <c r="E17" s="4"/>
      <c r="F17" s="4"/>
      <c r="G17" s="4"/>
    </row>
    <row r="18" spans="2:7" x14ac:dyDescent="0.45">
      <c r="B18" s="103"/>
      <c r="C18" s="5" t="s">
        <v>551</v>
      </c>
      <c r="D18" s="4" t="s">
        <v>552</v>
      </c>
      <c r="E18" s="4"/>
      <c r="F18" s="4"/>
      <c r="G18" s="4"/>
    </row>
    <row r="19" spans="2:7" x14ac:dyDescent="0.45">
      <c r="B19" s="103"/>
      <c r="C19" s="5" t="s">
        <v>553</v>
      </c>
      <c r="D19" s="4" t="s">
        <v>554</v>
      </c>
      <c r="E19" s="4"/>
      <c r="F19" s="4"/>
      <c r="G19" s="4"/>
    </row>
    <row r="20" spans="2:7" x14ac:dyDescent="0.45">
      <c r="B20" s="103"/>
      <c r="C20" s="5" t="s">
        <v>555</v>
      </c>
      <c r="D20" s="4" t="s">
        <v>556</v>
      </c>
      <c r="E20" s="4"/>
      <c r="F20" s="4"/>
      <c r="G20" s="4"/>
    </row>
    <row r="21" spans="2:7" x14ac:dyDescent="0.45">
      <c r="B21" s="104"/>
      <c r="C21" s="5" t="s">
        <v>557</v>
      </c>
      <c r="D21" s="4" t="s">
        <v>558</v>
      </c>
      <c r="E21" s="4"/>
      <c r="F21" s="4"/>
      <c r="G21" s="4"/>
    </row>
  </sheetData>
  <phoneticPr fontId="3" type="noConversion"/>
  <printOptions horizontalCentered="1"/>
  <pageMargins left="0.70866141732283472" right="0.70866141732283472" top="0.74803149606299213" bottom="0.74803149606299213" header="0.31496062992125984" footer="0.31496062992125984"/>
  <pageSetup paperSize="9" scale="81" fitToHeight="111" orientation="portrait" verticalDpi="0" r:id="rId1"/>
  <headerFooter>
    <oddFooter>&amp;L_x000D_&amp;1#&amp;"Calibri"&amp;9&amp;K000000 Confidential | AVIKUS – Unauthorized distribution is strictly prohibited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B6A8A-5143-499A-AD03-03B662E67DA8}">
  <dimension ref="A1"/>
  <sheetViews>
    <sheetView workbookViewId="0"/>
  </sheetViews>
  <sheetFormatPr defaultRowHeight="17" x14ac:dyDescent="0.45"/>
  <sheetData/>
  <phoneticPr fontId="3"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FD90D0F94733F44B8E92DD98AE1F1581" ma:contentTypeVersion="24" ma:contentTypeDescription="새 문서를 만듭니다." ma:contentTypeScope="" ma:versionID="21c32b248e26295ead819f3427f63ac0">
  <xsd:schema xmlns:xsd="http://www.w3.org/2001/XMLSchema" xmlns:xs="http://www.w3.org/2001/XMLSchema" xmlns:p="http://schemas.microsoft.com/office/2006/metadata/properties" xmlns:ns2="24019410-d1d0-42fe-b6da-bfb21a3ee566" xmlns:ns3="f1fa6c51-b02d-4139-aafb-3ade645604da" targetNamespace="http://schemas.microsoft.com/office/2006/metadata/properties" ma:root="true" ma:fieldsID="a2283992dadd3e01520b55ff8751ebaf" ns2:_="" ns3:_="">
    <xsd:import namespace="24019410-d1d0-42fe-b6da-bfb21a3ee566"/>
    <xsd:import namespace="f1fa6c51-b02d-4139-aafb-3ade645604da"/>
    <xsd:element name="properties">
      <xsd:complexType>
        <xsd:sequence>
          <xsd:element name="documentManagement">
            <xsd:complexType>
              <xsd:all>
                <xsd:element ref="ns2:_Flow_SignoffStatus" minOccurs="0"/>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ServiceLocatio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Thumbnail" minOccurs="0"/>
                <xsd:element ref="ns2:MediaServiceBillingMetadata" minOccurs="0"/>
                <xsd:element ref="ns2:AS_xc5c5__xccb4__xbe0c__xb85c__xc154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019410-d1d0-42fe-b6da-bfb21a3ee566" elementFormDefault="qualified">
    <xsd:import namespace="http://schemas.microsoft.com/office/2006/documentManagement/types"/>
    <xsd:import namespace="http://schemas.microsoft.com/office/infopath/2007/PartnerControls"/>
    <xsd:element name="_Flow_SignoffStatus" ma:index="8" nillable="true" ma:displayName="사인 오프 상태" ma:internalName="_xc0ac__xc778__x0020__xc624__xd504__x0020__xc0c1__xd0dc_">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이미지 태그" ma:readOnly="false" ma:fieldId="{5cf76f15-5ced-4ddc-b409-7134ff3c332f}" ma:taxonomyMulti="true" ma:sspId="f920a6b6-d301-4231-ae99-8c04d2adc0f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Thumbnail" ma:index="27" nillable="true" ma:displayName="Thumbnail" ma:format="Thumbnail" ma:internalName="Thumbnail">
      <xsd:simpleType>
        <xsd:restriction base="dms:Unknown"/>
      </xsd:simpleType>
    </xsd:element>
    <xsd:element name="MediaServiceBillingMetadata" ma:index="28" nillable="true" ma:displayName="MediaServiceBillingMetadata" ma:hidden="true" ma:internalName="MediaServiceBillingMetadata" ma:readOnly="true">
      <xsd:simpleType>
        <xsd:restriction base="dms:Note"/>
      </xsd:simpleType>
    </xsd:element>
    <xsd:element name="AS_xc5c5__xccb4__xbe0c__xb85c__xc154_" ma:index="29" nillable="true" ma:displayName="AS 업체 브로셔 " ma:format="Dropdown" ma:internalName="AS_xc5c5__xccb4__xbe0c__xb85c__xc154_">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1fa6c51-b02d-4139-aafb-3ade645604da" elementFormDefault="qualified">
    <xsd:import namespace="http://schemas.microsoft.com/office/2006/documentManagement/types"/>
    <xsd:import namespace="http://schemas.microsoft.com/office/infopath/2007/PartnerControls"/>
    <xsd:element name="SharedWithUsers" ma:index="20"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세부 정보 공유" ma:internalName="SharedWithDetails" ma:readOnly="true">
      <xsd:simpleType>
        <xsd:restriction base="dms:Note">
          <xsd:maxLength value="255"/>
        </xsd:restriction>
      </xsd:simpleType>
    </xsd:element>
    <xsd:element name="TaxCatchAll" ma:index="24" nillable="true" ma:displayName="Taxonomy Catch All Column" ma:hidden="true" ma:list="{21d8a1fc-1978-48f3-8f74-297a766dc28d}" ma:internalName="TaxCatchAll" ma:showField="CatchAllData" ma:web="f1fa6c51-b02d-4139-aafb-3ade645604d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4019410-d1d0-42fe-b6da-bfb21a3ee566">
      <Terms xmlns="http://schemas.microsoft.com/office/infopath/2007/PartnerControls"/>
    </lcf76f155ced4ddcb4097134ff3c332f>
    <Thumbnail xmlns="24019410-d1d0-42fe-b6da-bfb21a3ee566" xsi:nil="true"/>
    <AS_xc5c5__xccb4__xbe0c__xb85c__xc154_ xmlns="24019410-d1d0-42fe-b6da-bfb21a3ee566" xsi:nil="true"/>
    <_Flow_SignoffStatus xmlns="24019410-d1d0-42fe-b6da-bfb21a3ee566" xsi:nil="true"/>
    <TaxCatchAll xmlns="f1fa6c51-b02d-4139-aafb-3ade645604d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6B0E53F-9D90-4AB9-8A66-225F4D4834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4019410-d1d0-42fe-b6da-bfb21a3ee566"/>
    <ds:schemaRef ds:uri="f1fa6c51-b02d-4139-aafb-3ade645604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135BCFC-3384-4D23-8DF3-4B60E8B2F734}">
  <ds:schemaRefs>
    <ds:schemaRef ds:uri="http://schemas.microsoft.com/office/2006/metadata/properties"/>
    <ds:schemaRef ds:uri="http://schemas.microsoft.com/office/infopath/2007/PartnerControls"/>
    <ds:schemaRef ds:uri="24019410-d1d0-42fe-b6da-bfb21a3ee566"/>
    <ds:schemaRef ds:uri="f1fa6c51-b02d-4139-aafb-3ade645604da"/>
  </ds:schemaRefs>
</ds:datastoreItem>
</file>

<file path=customXml/itemProps3.xml><?xml version="1.0" encoding="utf-8"?>
<ds:datastoreItem xmlns:ds="http://schemas.openxmlformats.org/officeDocument/2006/customXml" ds:itemID="{BACD74DF-83B6-4A47-80C9-DEDD06725520}">
  <ds:schemaRefs>
    <ds:schemaRef ds:uri="http://schemas.microsoft.com/sharepoint/v3/contenttype/forms"/>
  </ds:schemaRefs>
</ds:datastoreItem>
</file>

<file path=docMetadata/LabelInfo.xml><?xml version="1.0" encoding="utf-8"?>
<clbl:labelList xmlns:clbl="http://schemas.microsoft.com/office/2020/mipLabelMetadata">
  <clbl:label id="{48141450-2387-4aca-b41f-19cd6be9dd3c}" enabled="1" method="Standard" siteId="{adf10e2b-b6e9-41d6-be2f-c12bb566019c}" removed="0"/>
  <clbl:label id="{bad320f5-2bb6-4079-b184-1296498dd694}" enabled="1" method="Privileged" siteId="{48c3cf2c-29be-407f-80f9-b5dc00c35cd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11</vt:i4>
      </vt:variant>
      <vt:variant>
        <vt:lpstr>이름 지정된 범위</vt:lpstr>
      </vt:variant>
      <vt:variant>
        <vt:i4>10</vt:i4>
      </vt:variant>
    </vt:vector>
  </HeadingPairs>
  <TitlesOfParts>
    <vt:vector size="21" baseType="lpstr">
      <vt:lpstr>파싱용</vt:lpstr>
      <vt:lpstr>BOM_(신조) HiNAS Nav</vt:lpstr>
      <vt:lpstr>BOM_(신조) HiNAS Nav DOM</vt:lpstr>
      <vt:lpstr>BOM_(신조) HiNAS Control</vt:lpstr>
      <vt:lpstr>BOM_(신조) HiNAS Con V2</vt:lpstr>
      <vt:lpstr>BOM_(신조) HiNAS SVM</vt:lpstr>
      <vt:lpstr>BOM_(개조) HiNAS Con SVM</vt:lpstr>
      <vt:lpstr>BOM_(개조) HiNAS Control</vt:lpstr>
      <vt:lpstr>자재리스트</vt:lpstr>
      <vt:lpstr>완제품리스트</vt:lpstr>
      <vt:lpstr>Sheet2</vt:lpstr>
      <vt:lpstr>'BOM_(개조) HiNAS Con SVM'!Print_Area</vt:lpstr>
      <vt:lpstr>'BOM_(개조) HiNAS Control'!Print_Area</vt:lpstr>
      <vt:lpstr>'BOM_(신조) HiNAS Con V2'!Print_Area</vt:lpstr>
      <vt:lpstr>'BOM_(신조) HiNAS Control'!Print_Area</vt:lpstr>
      <vt:lpstr>'BOM_(신조) HiNAS Nav'!Print_Area</vt:lpstr>
      <vt:lpstr>'BOM_(신조) HiNAS Nav DOM'!Print_Area</vt:lpstr>
      <vt:lpstr>'BOM_(신조) HiNAS SVM'!Print_Area</vt:lpstr>
      <vt:lpstr>완제품리스트!Print_Area</vt:lpstr>
      <vt:lpstr>자재리스트!Print_Area</vt:lpstr>
      <vt:lpstr>자재리스트!Print_Titles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Chong, Sang Ok</dc:creator>
  <cp:lastModifiedBy>Seunghyun Woo(우승현)</cp:lastModifiedBy>
  <dcterms:created xsi:type="dcterms:W3CDTF">2025-12-09T08:43:20Z</dcterms:created>
  <dcterms:modified xsi:type="dcterms:W3CDTF">2026-06-30T00:13:49Z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0x010100FD90D0F94733F44B8E92DD98AE1F1581</vt:lpwstr>
  </property>
</Properties>
</file>