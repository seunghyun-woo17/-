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unghyunwoo\Desktop\우승현\자동화 프로그램\BOM\"/>
    </mc:Choice>
  </mc:AlternateContent>
  <xr:revisionPtr revIDLastSave="0" documentId="13_ncr:1_{2105CC6F-3547-4F79-9696-B4FBA1261B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iNAS-Control 2.0" sheetId="6" r:id="rId1"/>
  </sheets>
  <definedNames>
    <definedName name="_xlnm._FilterDatabase" localSheetId="0" hidden="1">'HiNAS-Control 2.0'!$A$2:$K$31</definedName>
    <definedName name="_xlnm.Print_Area" localSheetId="0">'HiNAS-Control 2.0'!$A$1:$Q$31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5" i="6" l="1"/>
</calcChain>
</file>

<file path=xl/sharedStrings.xml><?xml version="1.0" encoding="utf-8"?>
<sst xmlns="http://schemas.openxmlformats.org/spreadsheetml/2006/main" count="213" uniqueCount="115">
  <si>
    <t>-</t>
    <phoneticPr fontId="6" type="noConversion"/>
  </si>
  <si>
    <t>MRC</t>
    <phoneticPr fontId="6" type="noConversion"/>
  </si>
  <si>
    <t>BOM - HiNAS Contorl 2.0</t>
    <phoneticPr fontId="6" type="noConversion"/>
  </si>
  <si>
    <t>No.</t>
    <phoneticPr fontId="6" type="noConversion"/>
  </si>
  <si>
    <t>LEVEL</t>
    <phoneticPr fontId="6" type="noConversion"/>
  </si>
  <si>
    <t>Locaition</t>
    <phoneticPr fontId="6" type="noConversion"/>
  </si>
  <si>
    <t>Item name</t>
    <phoneticPr fontId="6" type="noConversion"/>
  </si>
  <si>
    <t xml:space="preserve">Part Number </t>
    <phoneticPr fontId="6" type="noConversion"/>
  </si>
  <si>
    <t>QTY.</t>
    <phoneticPr fontId="6" type="noConversion"/>
  </si>
  <si>
    <t>MAKER</t>
    <phoneticPr fontId="6" type="noConversion"/>
  </si>
  <si>
    <t>공정 유형</t>
    <phoneticPr fontId="6" type="noConversion"/>
  </si>
  <si>
    <t>공정담당</t>
    <phoneticPr fontId="6" type="noConversion"/>
  </si>
  <si>
    <t>비고</t>
    <phoneticPr fontId="6" type="noConversion"/>
  </si>
  <si>
    <t>○</t>
    <phoneticPr fontId="6" type="noConversion"/>
  </si>
  <si>
    <t>HiNAS Control &amp; HiDOM</t>
    <phoneticPr fontId="6" type="noConversion"/>
  </si>
  <si>
    <t>EER or Navi Locker</t>
    <phoneticPr fontId="6" type="noConversion"/>
  </si>
  <si>
    <t>Main Rack</t>
    <phoneticPr fontId="6" type="noConversion"/>
  </si>
  <si>
    <t>MAIN RACK</t>
    <phoneticPr fontId="6" type="noConversion"/>
  </si>
  <si>
    <t>Optiplex XE4</t>
    <phoneticPr fontId="6" type="noConversion"/>
  </si>
  <si>
    <t>TETRADYNE(DELL)</t>
  </si>
  <si>
    <t>TETRADYNE</t>
    <phoneticPr fontId="6" type="noConversion"/>
  </si>
  <si>
    <t>발주,입고,창고,SW 세팅,FAT,DEL</t>
    <phoneticPr fontId="6" type="noConversion"/>
  </si>
  <si>
    <t>C14 TO C13 POWER CORD</t>
    <phoneticPr fontId="6" type="noConversion"/>
  </si>
  <si>
    <t>ANY VENDOR</t>
    <phoneticPr fontId="6" type="noConversion"/>
  </si>
  <si>
    <t>SERIAL TO ETHERNET</t>
    <phoneticPr fontId="6" type="noConversion"/>
  </si>
  <si>
    <t>Nport 5450i</t>
  </si>
  <si>
    <t>MOXA</t>
    <phoneticPr fontId="6" type="noConversion"/>
  </si>
  <si>
    <t>발주,입고,창고,FAT,DEL</t>
    <phoneticPr fontId="6" type="noConversion"/>
  </si>
  <si>
    <t>OPTICAL ISOLATOR</t>
    <phoneticPr fontId="6" type="noConversion"/>
  </si>
  <si>
    <t>OPTO-4</t>
    <phoneticPr fontId="6" type="noConversion"/>
  </si>
  <si>
    <t>ACTISENSE</t>
    <phoneticPr fontId="6" type="noConversion"/>
  </si>
  <si>
    <t>L2 SWITCH</t>
    <phoneticPr fontId="6" type="noConversion"/>
  </si>
  <si>
    <t>EDS-G508E</t>
    <phoneticPr fontId="6" type="noConversion"/>
  </si>
  <si>
    <t>FIREWALL</t>
    <phoneticPr fontId="6" type="noConversion"/>
  </si>
  <si>
    <t>FGR-60F</t>
    <phoneticPr fontId="6" type="noConversion"/>
  </si>
  <si>
    <t>FORTINET</t>
    <phoneticPr fontId="6" type="noConversion"/>
  </si>
  <si>
    <t>현대중공업, 삼호 일괄 3K , 현대미포 클라 2개 -3K, 클라 1개 - 1.5K ,UPS - 멀티탭 2개 C14 TO C13 3개</t>
    <phoneticPr fontId="6" type="noConversion"/>
  </si>
  <si>
    <t>Network PoE Switch</t>
    <phoneticPr fontId="6" type="noConversion"/>
  </si>
  <si>
    <t>EDS-G4012-8P-4QGS-LVB-T</t>
    <phoneticPr fontId="6" type="noConversion"/>
  </si>
  <si>
    <t>UPS</t>
    <phoneticPr fontId="6" type="noConversion"/>
  </si>
  <si>
    <t>EATON</t>
    <phoneticPr fontId="6" type="noConversion"/>
  </si>
  <si>
    <t>(1.5KVA, 3KVA W. marine filter)</t>
    <phoneticPr fontId="6" type="noConversion"/>
  </si>
  <si>
    <t>MULTI-TAP OUTLET</t>
    <phoneticPr fontId="6" type="noConversion"/>
  </si>
  <si>
    <t>6 SOCKET</t>
    <phoneticPr fontId="6" type="noConversion"/>
  </si>
  <si>
    <t>C14 PLUG</t>
    <phoneticPr fontId="6" type="noConversion"/>
  </si>
  <si>
    <t>CAT 6. UTP CABLE</t>
    <phoneticPr fontId="6" type="noConversion"/>
  </si>
  <si>
    <t>필요량</t>
    <phoneticPr fontId="6" type="noConversion"/>
  </si>
  <si>
    <t>RJ45 PLUG</t>
    <phoneticPr fontId="6" type="noConversion"/>
  </si>
  <si>
    <t>LS-RJ45-750</t>
    <phoneticPr fontId="6" type="noConversion"/>
  </si>
  <si>
    <t>Lan Star</t>
    <phoneticPr fontId="6" type="noConversion"/>
  </si>
  <si>
    <t>B.C.C</t>
    <phoneticPr fontId="6" type="noConversion"/>
  </si>
  <si>
    <t>CLIENT SERVER</t>
    <phoneticPr fontId="6" type="noConversion"/>
  </si>
  <si>
    <t>Optiplex XE4</t>
  </si>
  <si>
    <t>TETRADYNE</t>
  </si>
  <si>
    <t>SELECTOR SWITCH (W. DIMMER BOX)</t>
    <phoneticPr fontId="6" type="noConversion"/>
  </si>
  <si>
    <t>YOKOGAWA</t>
    <phoneticPr fontId="6" type="noConversion"/>
  </si>
  <si>
    <t>발주 ,DEL</t>
    <phoneticPr fontId="6" type="noConversion"/>
  </si>
  <si>
    <t>○</t>
  </si>
  <si>
    <t>TRACKBALL KEYBOARD</t>
    <phoneticPr fontId="6" type="noConversion"/>
  </si>
  <si>
    <t>RKTE85B0001-W-MC1</t>
    <phoneticPr fontId="6" type="noConversion"/>
  </si>
  <si>
    <t>NSI BV</t>
    <phoneticPr fontId="6" type="noConversion"/>
  </si>
  <si>
    <t>증거자료용으로 필요</t>
    <phoneticPr fontId="6" type="noConversion"/>
  </si>
  <si>
    <t>OSD RCU(58.4")</t>
    <phoneticPr fontId="6" type="noConversion"/>
  </si>
  <si>
    <t>COMPASS DECK</t>
    <phoneticPr fontId="6" type="noConversion"/>
  </si>
  <si>
    <t>CAMERA HOUSING</t>
    <phoneticPr fontId="6" type="noConversion"/>
  </si>
  <si>
    <t>MRC</t>
  </si>
  <si>
    <t>Camera Housing</t>
    <phoneticPr fontId="6" type="noConversion"/>
  </si>
  <si>
    <t>IR GLASS</t>
    <phoneticPr fontId="6" type="noConversion"/>
  </si>
  <si>
    <t>아르게스 마린</t>
    <phoneticPr fontId="6" type="noConversion"/>
  </si>
  <si>
    <t>EO GLASS</t>
    <phoneticPr fontId="6" type="noConversion"/>
  </si>
  <si>
    <t>Receptacle Cable
(w, Ferrite core)</t>
    <phoneticPr fontId="6" type="noConversion"/>
  </si>
  <si>
    <t>EO CAMERA</t>
    <phoneticPr fontId="6" type="noConversion"/>
  </si>
  <si>
    <t>IR CAMERA</t>
    <phoneticPr fontId="6" type="noConversion"/>
  </si>
  <si>
    <t>Boson640-8.7mm</t>
    <phoneticPr fontId="6" type="noConversion"/>
  </si>
  <si>
    <t>FLIR</t>
    <phoneticPr fontId="6" type="noConversion"/>
  </si>
  <si>
    <t>W/H CEILNG</t>
    <phoneticPr fontId="6" type="noConversion"/>
  </si>
  <si>
    <t>TIMX-W320</t>
    <phoneticPr fontId="6" type="noConversion"/>
  </si>
  <si>
    <t>TIMX-UW584</t>
    <phoneticPr fontId="6" type="noConversion"/>
  </si>
  <si>
    <t>DP CABLE(광케이블)</t>
    <phoneticPr fontId="6" type="noConversion"/>
  </si>
  <si>
    <t>40m</t>
    <phoneticPr fontId="6" type="noConversion"/>
  </si>
  <si>
    <t>HDMI CABLE</t>
    <phoneticPr fontId="6" type="noConversion"/>
  </si>
  <si>
    <t>MRC 결선,DEL</t>
    <phoneticPr fontId="6" type="noConversion"/>
  </si>
  <si>
    <t>MRC -&gt; YARD</t>
    <phoneticPr fontId="6" type="noConversion"/>
  </si>
  <si>
    <t>아비커스 -&gt;YARD</t>
    <phoneticPr fontId="6" type="noConversion"/>
  </si>
  <si>
    <t>아비커스 -&gt; MRC</t>
    <phoneticPr fontId="6" type="noConversion"/>
  </si>
  <si>
    <t>아비커스-&gt; YARD</t>
    <phoneticPr fontId="6" type="noConversion"/>
  </si>
  <si>
    <t>YOKOGAWA -&gt; YARD</t>
    <phoneticPr fontId="6" type="noConversion"/>
  </si>
  <si>
    <t>발주,입고,A-QC,P-전달 ,ASSY,재입고,창고,FAT, DEL</t>
    <phoneticPr fontId="6" type="noConversion"/>
  </si>
  <si>
    <t>협력업체-&gt;아비커스-&gt;YARD</t>
    <phoneticPr fontId="6" type="noConversion"/>
  </si>
  <si>
    <t>아비커스-&gt;협력업체-&gt;아비커스-&gt;YARD</t>
    <phoneticPr fontId="6" type="noConversion"/>
  </si>
  <si>
    <t>아비커스-&gt;YARD</t>
    <phoneticPr fontId="6" type="noConversion"/>
  </si>
  <si>
    <t xml:space="preserve"> 발주,P-QC,ASSY,재입고,창고,FAT,DEL</t>
    <phoneticPr fontId="6" type="noConversion"/>
  </si>
  <si>
    <t>HiDOM Server, 
Control Server</t>
    <phoneticPr fontId="6" type="noConversion"/>
  </si>
  <si>
    <t>GC-2BN Module</t>
    <phoneticPr fontId="4" type="noConversion"/>
  </si>
  <si>
    <t>아이알켄</t>
    <phoneticPr fontId="6" type="noConversion"/>
  </si>
  <si>
    <t>소모성 자재 네임 수정필요</t>
    <phoneticPr fontId="4" type="noConversion"/>
  </si>
  <si>
    <t>Main SERVER</t>
    <phoneticPr fontId="6" type="noConversion"/>
  </si>
  <si>
    <t>발주,입고,창고,세팅(SW),FAT,DEL</t>
    <phoneticPr fontId="6" type="noConversion"/>
  </si>
  <si>
    <t>발주,입고,창고,A-QC,FAT,DEL</t>
    <phoneticPr fontId="6" type="noConversion"/>
  </si>
  <si>
    <t>세팅 유형</t>
    <phoneticPr fontId="4" type="noConversion"/>
  </si>
  <si>
    <t>SW 세팅</t>
    <phoneticPr fontId="4" type="noConversion"/>
  </si>
  <si>
    <t>IP 세팅</t>
    <phoneticPr fontId="4" type="noConversion"/>
  </si>
  <si>
    <t>발주,입고,창고,세팅,FAT,MRC 납품 ,MRC 결선,DEL</t>
    <phoneticPr fontId="6" type="noConversion"/>
  </si>
  <si>
    <t>제품 설명(히스토리)</t>
    <phoneticPr fontId="4" type="noConversion"/>
  </si>
  <si>
    <t>현재 AC Line Filter 미장착했던 이슈 발생으로 재발방지를 위해 검수 진행중</t>
    <phoneticPr fontId="4" type="noConversion"/>
  </si>
  <si>
    <t>FAT 업무</t>
    <phoneticPr fontId="4" type="noConversion"/>
  </si>
  <si>
    <t>Firmware 정책 세팅</t>
    <phoneticPr fontId="4" type="noConversion"/>
  </si>
  <si>
    <t>카메라 CALIBRATION; E.O,IR 영상출력 확인; 외관 검사 및 패키징</t>
    <phoneticPr fontId="4" type="noConversion"/>
  </si>
  <si>
    <t>Essential BOM Component (NIR)</t>
  </si>
  <si>
    <t>발주,,ASSY,재입고,FAT,DEL</t>
    <phoneticPr fontId="6" type="noConversion"/>
  </si>
  <si>
    <t>9PX3000IRTM</t>
    <phoneticPr fontId="6" type="noConversion"/>
  </si>
  <si>
    <t>Essential BOM Component (NIR)</t>
    <phoneticPr fontId="4" type="noConversion"/>
  </si>
  <si>
    <t>해당 제품은 Autopilot 장비의 부속품
Autopliot 메이커가 직접 발주  후 YARD에 납품하는 공정도</t>
    <phoneticPr fontId="4" type="noConversion"/>
  </si>
  <si>
    <t xml:space="preserve">DISPLAY UNIT(58) </t>
    <phoneticPr fontId="6" type="noConversion"/>
  </si>
  <si>
    <t>DISPLAY UNIT(32)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</si>
</sst>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13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6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8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45">
    <xf numFmtId="0" fontId="0" fillId="0" borderId="0" xfId="0">
      <alignment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horizontal="left" vertical="center"/>
    </xf>
    <xf numFmtId="0" fontId="2" fillId="0" borderId="0" xfId="2" applyAlignment="1">
      <alignment horizontal="left" vertical="center" wrapText="1"/>
    </xf>
    <xf numFmtId="0" fontId="2" fillId="0" borderId="0" xfId="2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1" xfId="2" applyFont="1" applyFill="1" applyBorder="1" applyAlignment="1">
      <alignment horizontal="center" vertical="center" wrapText="1"/>
    </xf>
    <xf numFmtId="176" fontId="9" fillId="3" borderId="1" xfId="2" applyNumberFormat="1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left" vertical="center" wrapText="1"/>
    </xf>
    <xf numFmtId="0" fontId="9" fillId="4" borderId="1" xfId="2" applyFont="1" applyFill="1" applyBorder="1" applyAlignment="1">
      <alignment horizontal="center" vertical="center" wrapText="1"/>
    </xf>
    <xf numFmtId="176" fontId="9" fillId="4" borderId="1" xfId="2" applyNumberFormat="1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/>
    </xf>
    <xf numFmtId="0" fontId="8" fillId="4" borderId="1" xfId="2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left" vertical="center" wrapText="1"/>
    </xf>
    <xf numFmtId="0" fontId="8" fillId="5" borderId="1" xfId="2" applyFont="1" applyFill="1" applyBorder="1" applyAlignment="1">
      <alignment horizontal="center" vertical="center" wrapText="1"/>
    </xf>
    <xf numFmtId="0" fontId="9" fillId="5" borderId="1" xfId="2" applyFont="1" applyFill="1" applyBorder="1" applyAlignment="1">
      <alignment horizontal="center" vertical="center" wrapText="1"/>
    </xf>
    <xf numFmtId="176" fontId="9" fillId="5" borderId="1" xfId="2" applyNumberFormat="1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left" vertical="center" wrapText="1"/>
    </xf>
    <xf numFmtId="0" fontId="12" fillId="5" borderId="1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center"/>
    </xf>
    <xf numFmtId="0" fontId="9" fillId="6" borderId="1" xfId="2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left" vertical="center" wrapText="1"/>
    </xf>
    <xf numFmtId="0" fontId="9" fillId="6" borderId="1" xfId="2" applyFont="1" applyFill="1" applyBorder="1" applyAlignment="1">
      <alignment horizontal="center" vertical="center" wrapText="1"/>
    </xf>
    <xf numFmtId="176" fontId="9" fillId="6" borderId="1" xfId="2" applyNumberFormat="1" applyFont="1" applyFill="1" applyBorder="1" applyAlignment="1">
      <alignment horizontal="center" vertical="center" wrapText="1"/>
    </xf>
    <xf numFmtId="0" fontId="12" fillId="6" borderId="1" xfId="2" applyFont="1" applyFill="1" applyBorder="1" applyAlignment="1">
      <alignment horizontal="left" vertical="center" wrapText="1"/>
    </xf>
    <xf numFmtId="0" fontId="12" fillId="6" borderId="1" xfId="2" applyFont="1" applyFill="1" applyBorder="1" applyAlignment="1">
      <alignment horizontal="center" vertical="center" wrapText="1"/>
    </xf>
    <xf numFmtId="0" fontId="9" fillId="7" borderId="1" xfId="2" applyFont="1" applyFill="1" applyBorder="1" applyAlignment="1">
      <alignment horizontal="center" vertical="center"/>
    </xf>
    <xf numFmtId="0" fontId="9" fillId="7" borderId="1" xfId="2" applyFont="1" applyFill="1" applyBorder="1" applyAlignment="1">
      <alignment horizontal="left" vertical="center" wrapText="1"/>
    </xf>
    <xf numFmtId="0" fontId="8" fillId="7" borderId="1" xfId="2" applyFont="1" applyFill="1" applyBorder="1" applyAlignment="1">
      <alignment horizontal="center" vertical="center" wrapText="1"/>
    </xf>
    <xf numFmtId="0" fontId="11" fillId="7" borderId="1" xfId="2" applyFont="1" applyFill="1" applyBorder="1" applyAlignment="1">
      <alignment horizontal="center" vertical="center"/>
    </xf>
    <xf numFmtId="176" fontId="9" fillId="7" borderId="1" xfId="2" applyNumberFormat="1" applyFont="1" applyFill="1" applyBorder="1" applyAlignment="1">
      <alignment horizontal="center" vertical="center" wrapText="1"/>
    </xf>
    <xf numFmtId="0" fontId="9" fillId="7" borderId="1" xfId="2" applyFont="1" applyFill="1" applyBorder="1" applyAlignment="1">
      <alignment horizontal="center" vertical="center" wrapText="1"/>
    </xf>
    <xf numFmtId="0" fontId="1" fillId="0" borderId="0" xfId="2" applyFont="1" applyAlignment="1">
      <alignment horizontal="center" vertical="center"/>
    </xf>
    <xf numFmtId="0" fontId="9" fillId="2" borderId="3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1E971B18-E7B7-48FD-944A-740D79EC94CF}"/>
    <cellStyle name="표준 3" xfId="2" xr:uid="{AFE1556D-3DD1-4C33-8084-60B1ED484C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7901-CC22-4ECA-ACE6-96F49F0A090F}">
  <sheetPr>
    <pageSetUpPr fitToPage="1"/>
  </sheetPr>
  <dimension ref="A1:W35"/>
  <sheetViews>
    <sheetView tabSelected="1" view="pageBreakPreview" topLeftCell="L1" zoomScale="130" zoomScaleNormal="70" zoomScaleSheetLayoutView="130" workbookViewId="0">
      <selection activeCell="P10" sqref="P10"/>
    </sheetView>
  </sheetViews>
  <sheetFormatPr defaultColWidth="8.75" defaultRowHeight="17" x14ac:dyDescent="0.45"/>
  <cols>
    <col min="1" max="1" width="2.5" style="1" customWidth="1"/>
    <col min="2" max="4" width="2.25" style="1" bestFit="1" customWidth="1"/>
    <col min="5" max="6" width="2.25" style="1" hidden="1" customWidth="1"/>
    <col min="7" max="7" width="12.75" style="1" bestFit="1" customWidth="1"/>
    <col min="8" max="8" width="20.75" style="3" customWidth="1"/>
    <col min="9" max="9" width="12.83203125" style="4" customWidth="1"/>
    <col min="10" max="10" width="4.75" style="1" bestFit="1" customWidth="1"/>
    <col min="11" max="11" width="13" style="1" bestFit="1" customWidth="1"/>
    <col min="12" max="12" width="39.4140625" style="1" customWidth="1"/>
    <col min="13" max="13" width="7.5" style="1" bestFit="1" customWidth="1"/>
    <col min="14" max="14" width="33.4140625" style="1" customWidth="1"/>
    <col min="15" max="16" width="21.83203125" style="1" customWidth="1"/>
    <col min="17" max="17" width="24.75" style="1" customWidth="1"/>
    <col min="18" max="18" width="8.75" style="1"/>
    <col min="19" max="19" width="28.08203125" style="1" customWidth="1"/>
    <col min="20" max="16384" width="8.75" style="1"/>
  </cols>
  <sheetData>
    <row r="1" spans="1:22" x14ac:dyDescent="0.45">
      <c r="B1" s="2" t="s">
        <v>2</v>
      </c>
      <c r="F1" s="2"/>
    </row>
    <row r="2" spans="1:22" x14ac:dyDescent="0.45">
      <c r="A2" s="40" t="s">
        <v>3</v>
      </c>
      <c r="B2" s="42" t="s">
        <v>4</v>
      </c>
      <c r="C2" s="42"/>
      <c r="D2" s="42"/>
      <c r="E2" s="42"/>
      <c r="F2" s="42"/>
      <c r="G2" s="43" t="s">
        <v>5</v>
      </c>
      <c r="H2" s="43" t="s">
        <v>6</v>
      </c>
      <c r="I2" s="43" t="s">
        <v>7</v>
      </c>
      <c r="J2" s="42" t="s">
        <v>8</v>
      </c>
      <c r="K2" s="43" t="s">
        <v>9</v>
      </c>
      <c r="L2" s="44" t="s">
        <v>10</v>
      </c>
      <c r="M2" s="44" t="s">
        <v>99</v>
      </c>
      <c r="N2" s="44" t="s">
        <v>11</v>
      </c>
      <c r="O2" s="44" t="s">
        <v>12</v>
      </c>
      <c r="P2" s="38" t="s">
        <v>105</v>
      </c>
      <c r="Q2" s="38" t="s">
        <v>103</v>
      </c>
    </row>
    <row r="3" spans="1:22" x14ac:dyDescent="0.45">
      <c r="A3" s="41"/>
      <c r="B3" s="5">
        <v>1</v>
      </c>
      <c r="C3" s="5">
        <v>2</v>
      </c>
      <c r="D3" s="5">
        <v>3</v>
      </c>
      <c r="E3" s="5">
        <v>4</v>
      </c>
      <c r="F3" s="5">
        <v>5</v>
      </c>
      <c r="G3" s="42"/>
      <c r="H3" s="43"/>
      <c r="I3" s="43"/>
      <c r="J3" s="42"/>
      <c r="K3" s="42"/>
      <c r="L3" s="44"/>
      <c r="M3" s="44"/>
      <c r="N3" s="44"/>
      <c r="O3" s="44"/>
      <c r="P3" s="39"/>
      <c r="Q3" s="39"/>
    </row>
    <row r="4" spans="1:22" x14ac:dyDescent="0.45">
      <c r="A4" s="6">
        <v>1</v>
      </c>
      <c r="B4" s="6" t="s">
        <v>13</v>
      </c>
      <c r="C4" s="6"/>
      <c r="D4" s="6"/>
      <c r="E4" s="6"/>
      <c r="F4" s="6"/>
      <c r="G4" s="6"/>
      <c r="H4" s="7" t="s">
        <v>14</v>
      </c>
      <c r="I4" s="8"/>
      <c r="J4" s="6">
        <v>1</v>
      </c>
      <c r="K4" s="6"/>
      <c r="L4" s="9"/>
      <c r="M4" s="9"/>
      <c r="N4" s="9"/>
      <c r="O4" s="8"/>
      <c r="P4" s="8"/>
      <c r="Q4" s="8"/>
    </row>
    <row r="5" spans="1:22" x14ac:dyDescent="0.45">
      <c r="A5" s="10">
        <v>2</v>
      </c>
      <c r="B5" s="10"/>
      <c r="C5" s="10" t="s">
        <v>13</v>
      </c>
      <c r="D5" s="10"/>
      <c r="E5" s="10"/>
      <c r="F5" s="10"/>
      <c r="G5" s="10" t="s">
        <v>15</v>
      </c>
      <c r="H5" s="11" t="s">
        <v>16</v>
      </c>
      <c r="I5" s="12" t="s">
        <v>0</v>
      </c>
      <c r="J5" s="10">
        <v>1</v>
      </c>
      <c r="K5" s="10" t="s">
        <v>1</v>
      </c>
      <c r="L5" s="13" t="s">
        <v>81</v>
      </c>
      <c r="M5" s="13"/>
      <c r="N5" s="13" t="s">
        <v>82</v>
      </c>
      <c r="O5" s="12"/>
      <c r="P5" s="12"/>
      <c r="Q5" s="12"/>
    </row>
    <row r="6" spans="1:22" ht="23" x14ac:dyDescent="0.45">
      <c r="A6" s="10">
        <v>3</v>
      </c>
      <c r="B6" s="10"/>
      <c r="C6" s="10"/>
      <c r="D6" s="10" t="s">
        <v>13</v>
      </c>
      <c r="E6" s="10"/>
      <c r="F6" s="10"/>
      <c r="G6" s="10" t="s">
        <v>17</v>
      </c>
      <c r="H6" s="11" t="s">
        <v>96</v>
      </c>
      <c r="I6" s="14" t="s">
        <v>18</v>
      </c>
      <c r="J6" s="10">
        <v>2</v>
      </c>
      <c r="K6" s="10" t="s">
        <v>19</v>
      </c>
      <c r="L6" s="13" t="s">
        <v>97</v>
      </c>
      <c r="M6" s="13" t="s">
        <v>100</v>
      </c>
      <c r="N6" s="13" t="s">
        <v>83</v>
      </c>
      <c r="O6" s="12" t="s">
        <v>92</v>
      </c>
      <c r="P6" s="12"/>
      <c r="Q6" s="12"/>
    </row>
    <row r="7" spans="1:22" x14ac:dyDescent="0.45">
      <c r="A7" s="10">
        <v>4</v>
      </c>
      <c r="B7" s="10"/>
      <c r="C7" s="10"/>
      <c r="D7" s="10" t="s">
        <v>13</v>
      </c>
      <c r="E7" s="10"/>
      <c r="F7" s="10"/>
      <c r="G7" s="10" t="s">
        <v>17</v>
      </c>
      <c r="H7" s="11" t="s">
        <v>22</v>
      </c>
      <c r="I7" s="12" t="s">
        <v>0</v>
      </c>
      <c r="J7" s="10">
        <v>2</v>
      </c>
      <c r="K7" s="10" t="s">
        <v>23</v>
      </c>
      <c r="L7" s="13"/>
      <c r="M7" s="13"/>
      <c r="N7" s="13" t="s">
        <v>108</v>
      </c>
      <c r="O7" s="12"/>
      <c r="P7" s="12"/>
      <c r="Q7" s="12"/>
    </row>
    <row r="8" spans="1:22" x14ac:dyDescent="0.45">
      <c r="A8" s="10">
        <v>5</v>
      </c>
      <c r="B8" s="10"/>
      <c r="C8" s="10"/>
      <c r="D8" s="10" t="s">
        <v>13</v>
      </c>
      <c r="E8" s="10"/>
      <c r="F8" s="10"/>
      <c r="G8" s="10" t="s">
        <v>17</v>
      </c>
      <c r="H8" s="11" t="s">
        <v>24</v>
      </c>
      <c r="I8" s="12" t="s">
        <v>25</v>
      </c>
      <c r="J8" s="10">
        <v>2</v>
      </c>
      <c r="K8" s="10" t="s">
        <v>26</v>
      </c>
      <c r="L8" s="13" t="s">
        <v>102</v>
      </c>
      <c r="M8" s="13" t="s">
        <v>101</v>
      </c>
      <c r="N8" s="13" t="s">
        <v>84</v>
      </c>
      <c r="O8" s="12"/>
      <c r="P8" s="12"/>
      <c r="Q8" s="12"/>
    </row>
    <row r="9" spans="1:22" x14ac:dyDescent="0.45">
      <c r="A9" s="10">
        <v>6</v>
      </c>
      <c r="B9" s="10"/>
      <c r="C9" s="10"/>
      <c r="D9" s="10" t="s">
        <v>13</v>
      </c>
      <c r="E9" s="10"/>
      <c r="F9" s="10"/>
      <c r="G9" s="10" t="s">
        <v>17</v>
      </c>
      <c r="H9" s="11" t="s">
        <v>28</v>
      </c>
      <c r="I9" s="12" t="s">
        <v>29</v>
      </c>
      <c r="J9" s="10">
        <v>4</v>
      </c>
      <c r="K9" s="10" t="s">
        <v>30</v>
      </c>
      <c r="L9" s="13"/>
      <c r="M9" s="13"/>
      <c r="N9" s="13" t="s">
        <v>108</v>
      </c>
      <c r="O9" s="12"/>
      <c r="P9" s="12"/>
      <c r="Q9" s="12"/>
    </row>
    <row r="10" spans="1:22" x14ac:dyDescent="0.45">
      <c r="A10" s="10">
        <v>7</v>
      </c>
      <c r="B10" s="10"/>
      <c r="C10" s="10"/>
      <c r="D10" s="10" t="s">
        <v>13</v>
      </c>
      <c r="E10" s="10"/>
      <c r="F10" s="10"/>
      <c r="G10" s="10" t="s">
        <v>17</v>
      </c>
      <c r="H10" s="11" t="s">
        <v>31</v>
      </c>
      <c r="I10" s="14" t="s">
        <v>32</v>
      </c>
      <c r="J10" s="15">
        <v>2</v>
      </c>
      <c r="K10" s="16" t="s">
        <v>26</v>
      </c>
      <c r="L10" s="13" t="s">
        <v>102</v>
      </c>
      <c r="M10" s="13" t="s">
        <v>101</v>
      </c>
      <c r="N10" s="13" t="s">
        <v>84</v>
      </c>
      <c r="O10" s="12"/>
      <c r="P10" s="12"/>
      <c r="Q10" s="12"/>
    </row>
    <row r="11" spans="1:22" x14ac:dyDescent="0.45">
      <c r="A11" s="10">
        <v>8</v>
      </c>
      <c r="B11" s="10"/>
      <c r="C11" s="10"/>
      <c r="D11" s="10" t="s">
        <v>13</v>
      </c>
      <c r="E11" s="10"/>
      <c r="F11" s="10"/>
      <c r="G11" s="10" t="s">
        <v>17</v>
      </c>
      <c r="H11" s="11" t="s">
        <v>33</v>
      </c>
      <c r="I11" s="12" t="s">
        <v>34</v>
      </c>
      <c r="J11" s="10">
        <v>1</v>
      </c>
      <c r="K11" s="10" t="s">
        <v>35</v>
      </c>
      <c r="L11" s="13" t="s">
        <v>102</v>
      </c>
      <c r="M11" s="13" t="s">
        <v>101</v>
      </c>
      <c r="N11" s="13" t="s">
        <v>84</v>
      </c>
      <c r="O11" s="12"/>
      <c r="P11" s="12" t="s">
        <v>106</v>
      </c>
      <c r="Q11" s="12"/>
      <c r="V11" s="1" t="s">
        <v>36</v>
      </c>
    </row>
    <row r="12" spans="1:22" ht="23" x14ac:dyDescent="0.45">
      <c r="A12" s="10">
        <v>9</v>
      </c>
      <c r="B12" s="10"/>
      <c r="C12" s="10"/>
      <c r="D12" s="10" t="s">
        <v>13</v>
      </c>
      <c r="E12" s="10"/>
      <c r="F12" s="10"/>
      <c r="G12" s="10" t="s">
        <v>17</v>
      </c>
      <c r="H12" s="11" t="s">
        <v>37</v>
      </c>
      <c r="I12" s="12" t="s">
        <v>38</v>
      </c>
      <c r="J12" s="10">
        <v>1</v>
      </c>
      <c r="K12" s="10" t="s">
        <v>26</v>
      </c>
      <c r="L12" s="13" t="s">
        <v>102</v>
      </c>
      <c r="M12" s="13" t="s">
        <v>101</v>
      </c>
      <c r="N12" s="13" t="s">
        <v>84</v>
      </c>
      <c r="O12" s="12"/>
      <c r="P12" s="12"/>
      <c r="Q12" s="12"/>
    </row>
    <row r="13" spans="1:22" x14ac:dyDescent="0.45">
      <c r="A13" s="10">
        <v>10</v>
      </c>
      <c r="B13" s="10"/>
      <c r="C13" s="10"/>
      <c r="D13" s="10" t="s">
        <v>13</v>
      </c>
      <c r="E13" s="10"/>
      <c r="F13" s="10"/>
      <c r="G13" s="10" t="s">
        <v>17</v>
      </c>
      <c r="H13" s="11" t="s">
        <v>39</v>
      </c>
      <c r="I13" s="12" t="s">
        <v>110</v>
      </c>
      <c r="J13" s="10">
        <v>1</v>
      </c>
      <c r="K13" s="10" t="s">
        <v>40</v>
      </c>
      <c r="L13" s="13" t="s">
        <v>102</v>
      </c>
      <c r="M13" s="13" t="s">
        <v>101</v>
      </c>
      <c r="N13" s="13" t="s">
        <v>84</v>
      </c>
      <c r="O13" s="12" t="s">
        <v>41</v>
      </c>
      <c r="P13" s="12" t="s">
        <v>106</v>
      </c>
      <c r="Q13" s="12"/>
    </row>
    <row r="14" spans="1:22" x14ac:dyDescent="0.45">
      <c r="A14" s="10">
        <v>11</v>
      </c>
      <c r="B14" s="10"/>
      <c r="C14" s="10"/>
      <c r="D14" s="10" t="s">
        <v>13</v>
      </c>
      <c r="E14" s="10"/>
      <c r="F14" s="10"/>
      <c r="G14" s="10" t="s">
        <v>17</v>
      </c>
      <c r="H14" s="11" t="s">
        <v>42</v>
      </c>
      <c r="I14" s="12" t="s">
        <v>43</v>
      </c>
      <c r="J14" s="10">
        <v>5</v>
      </c>
      <c r="K14" s="10" t="s">
        <v>23</v>
      </c>
      <c r="L14" s="13"/>
      <c r="M14" s="13"/>
      <c r="N14" s="13" t="s">
        <v>108</v>
      </c>
      <c r="O14" s="12"/>
      <c r="P14" s="12"/>
      <c r="Q14" s="12"/>
      <c r="S14" s="37" t="s">
        <v>95</v>
      </c>
    </row>
    <row r="15" spans="1:22" x14ac:dyDescent="0.45">
      <c r="A15" s="10">
        <v>12</v>
      </c>
      <c r="B15" s="10"/>
      <c r="C15" s="10"/>
      <c r="D15" s="10" t="s">
        <v>13</v>
      </c>
      <c r="E15" s="10"/>
      <c r="F15" s="10"/>
      <c r="G15" s="10" t="s">
        <v>17</v>
      </c>
      <c r="H15" s="11" t="s">
        <v>44</v>
      </c>
      <c r="I15" s="12" t="s">
        <v>0</v>
      </c>
      <c r="J15" s="10">
        <v>8</v>
      </c>
      <c r="K15" s="10" t="s">
        <v>23</v>
      </c>
      <c r="L15" s="13"/>
      <c r="M15" s="13"/>
      <c r="N15" s="13" t="s">
        <v>108</v>
      </c>
      <c r="O15" s="12"/>
      <c r="P15" s="12"/>
      <c r="Q15" s="12"/>
    </row>
    <row r="16" spans="1:22" x14ac:dyDescent="0.45">
      <c r="A16" s="10">
        <v>13</v>
      </c>
      <c r="B16" s="10"/>
      <c r="C16" s="10"/>
      <c r="D16" s="10" t="s">
        <v>13</v>
      </c>
      <c r="E16" s="10"/>
      <c r="F16" s="10"/>
      <c r="G16" s="10" t="s">
        <v>17</v>
      </c>
      <c r="H16" s="11" t="s">
        <v>45</v>
      </c>
      <c r="I16" s="12"/>
      <c r="J16" s="10" t="s">
        <v>46</v>
      </c>
      <c r="K16" s="10" t="s">
        <v>23</v>
      </c>
      <c r="L16" s="13"/>
      <c r="M16" s="13"/>
      <c r="N16" s="13" t="s">
        <v>108</v>
      </c>
      <c r="O16" s="12"/>
      <c r="P16" s="12"/>
      <c r="Q16" s="12"/>
    </row>
    <row r="17" spans="1:19" x14ac:dyDescent="0.45">
      <c r="A17" s="10">
        <v>14</v>
      </c>
      <c r="B17" s="10"/>
      <c r="C17" s="10"/>
      <c r="D17" s="10" t="s">
        <v>13</v>
      </c>
      <c r="E17" s="10"/>
      <c r="F17" s="10"/>
      <c r="G17" s="10" t="s">
        <v>17</v>
      </c>
      <c r="H17" s="11" t="s">
        <v>47</v>
      </c>
      <c r="I17" s="12" t="s">
        <v>48</v>
      </c>
      <c r="J17" s="10" t="s">
        <v>46</v>
      </c>
      <c r="K17" s="10" t="s">
        <v>49</v>
      </c>
      <c r="L17" s="13"/>
      <c r="M17" s="13"/>
      <c r="N17" s="13" t="s">
        <v>111</v>
      </c>
      <c r="O17" s="12"/>
      <c r="P17" s="12"/>
      <c r="Q17" s="12"/>
    </row>
    <row r="18" spans="1:19" x14ac:dyDescent="0.45">
      <c r="A18" s="17">
        <v>15</v>
      </c>
      <c r="B18" s="17"/>
      <c r="C18" s="17" t="s">
        <v>13</v>
      </c>
      <c r="D18" s="17"/>
      <c r="E18" s="17"/>
      <c r="F18" s="17"/>
      <c r="G18" s="17" t="s">
        <v>50</v>
      </c>
      <c r="H18" s="18" t="s">
        <v>51</v>
      </c>
      <c r="I18" s="19" t="s">
        <v>52</v>
      </c>
      <c r="J18" s="17">
        <v>2</v>
      </c>
      <c r="K18" s="17" t="s">
        <v>19</v>
      </c>
      <c r="L18" s="21" t="s">
        <v>21</v>
      </c>
      <c r="M18" s="21" t="s">
        <v>100</v>
      </c>
      <c r="N18" s="21" t="s">
        <v>85</v>
      </c>
      <c r="O18" s="20"/>
      <c r="P18" s="20"/>
      <c r="Q18" s="20"/>
    </row>
    <row r="19" spans="1:19" ht="34.5" x14ac:dyDescent="0.45">
      <c r="A19" s="17">
        <v>16</v>
      </c>
      <c r="B19" s="17"/>
      <c r="C19" s="17" t="s">
        <v>13</v>
      </c>
      <c r="D19" s="17"/>
      <c r="E19" s="17"/>
      <c r="F19" s="17"/>
      <c r="G19" s="17" t="s">
        <v>50</v>
      </c>
      <c r="H19" s="22" t="s">
        <v>54</v>
      </c>
      <c r="I19" s="20" t="s">
        <v>0</v>
      </c>
      <c r="J19" s="17">
        <v>1</v>
      </c>
      <c r="K19" s="17" t="s">
        <v>55</v>
      </c>
      <c r="L19" s="21" t="s">
        <v>56</v>
      </c>
      <c r="M19" s="21"/>
      <c r="N19" s="17" t="s">
        <v>86</v>
      </c>
      <c r="O19" s="23"/>
      <c r="P19" s="23"/>
      <c r="Q19" s="22" t="s">
        <v>112</v>
      </c>
      <c r="R19" s="24"/>
    </row>
    <row r="20" spans="1:19" ht="23" x14ac:dyDescent="0.45">
      <c r="A20" s="17">
        <v>17</v>
      </c>
      <c r="B20" s="17"/>
      <c r="C20" s="17" t="s">
        <v>57</v>
      </c>
      <c r="D20" s="17"/>
      <c r="E20" s="17"/>
      <c r="F20" s="17"/>
      <c r="G20" s="17" t="s">
        <v>50</v>
      </c>
      <c r="H20" s="18" t="s">
        <v>58</v>
      </c>
      <c r="I20" s="20" t="s">
        <v>59</v>
      </c>
      <c r="J20" s="17">
        <v>2</v>
      </c>
      <c r="K20" s="17" t="s">
        <v>60</v>
      </c>
      <c r="L20" s="21" t="s">
        <v>27</v>
      </c>
      <c r="M20" s="21"/>
      <c r="N20" s="21" t="s">
        <v>85</v>
      </c>
      <c r="O20" s="20"/>
      <c r="P20" s="20"/>
      <c r="Q20" s="20"/>
      <c r="S20" s="1" t="s">
        <v>61</v>
      </c>
    </row>
    <row r="21" spans="1:19" x14ac:dyDescent="0.45">
      <c r="A21" s="17">
        <v>18</v>
      </c>
      <c r="B21" s="17"/>
      <c r="C21" s="17" t="s">
        <v>13</v>
      </c>
      <c r="D21" s="17"/>
      <c r="E21" s="17"/>
      <c r="F21" s="17"/>
      <c r="G21" s="17" t="s">
        <v>50</v>
      </c>
      <c r="H21" s="18" t="s">
        <v>62</v>
      </c>
      <c r="I21" s="20" t="s">
        <v>0</v>
      </c>
      <c r="J21" s="17">
        <v>1</v>
      </c>
      <c r="K21" s="17" t="s">
        <v>20</v>
      </c>
      <c r="L21" s="21" t="s">
        <v>27</v>
      </c>
      <c r="M21" s="21"/>
      <c r="N21" s="21" t="s">
        <v>108</v>
      </c>
      <c r="O21" s="20"/>
      <c r="P21" s="20"/>
      <c r="Q21" s="20"/>
    </row>
    <row r="22" spans="1:19" ht="23" x14ac:dyDescent="0.45">
      <c r="A22" s="25">
        <v>19</v>
      </c>
      <c r="B22" s="25"/>
      <c r="C22" s="25" t="s">
        <v>13</v>
      </c>
      <c r="D22" s="25"/>
      <c r="E22" s="25"/>
      <c r="F22" s="25"/>
      <c r="G22" s="25" t="s">
        <v>63</v>
      </c>
      <c r="H22" s="26" t="s">
        <v>64</v>
      </c>
      <c r="I22" s="27" t="s">
        <v>0</v>
      </c>
      <c r="J22" s="25">
        <v>1</v>
      </c>
      <c r="K22" s="25" t="s">
        <v>65</v>
      </c>
      <c r="L22" s="28" t="s">
        <v>109</v>
      </c>
      <c r="M22" s="28"/>
      <c r="N22" s="28" t="s">
        <v>88</v>
      </c>
      <c r="O22" s="27"/>
      <c r="P22" s="27" t="s">
        <v>107</v>
      </c>
      <c r="Q22" s="27"/>
    </row>
    <row r="23" spans="1:19" x14ac:dyDescent="0.45">
      <c r="A23" s="25">
        <v>20</v>
      </c>
      <c r="B23" s="25"/>
      <c r="C23" s="25"/>
      <c r="D23" s="25" t="s">
        <v>57</v>
      </c>
      <c r="E23" s="25"/>
      <c r="F23" s="25"/>
      <c r="G23" s="25" t="s">
        <v>66</v>
      </c>
      <c r="H23" s="26" t="s">
        <v>67</v>
      </c>
      <c r="I23" s="27" t="s">
        <v>0</v>
      </c>
      <c r="J23" s="25">
        <v>3</v>
      </c>
      <c r="K23" s="25" t="s">
        <v>74</v>
      </c>
      <c r="L23" s="28"/>
      <c r="M23" s="28"/>
      <c r="N23" s="28" t="s">
        <v>108</v>
      </c>
      <c r="O23" s="27"/>
      <c r="P23" s="27"/>
      <c r="Q23" s="27"/>
    </row>
    <row r="24" spans="1:19" x14ac:dyDescent="0.45">
      <c r="A24" s="25">
        <v>21</v>
      </c>
      <c r="B24" s="25"/>
      <c r="C24" s="25"/>
      <c r="D24" s="25" t="s">
        <v>57</v>
      </c>
      <c r="E24" s="25"/>
      <c r="F24" s="25"/>
      <c r="G24" s="25" t="s">
        <v>66</v>
      </c>
      <c r="H24" s="26" t="s">
        <v>69</v>
      </c>
      <c r="I24" s="27" t="s">
        <v>0</v>
      </c>
      <c r="J24" s="25">
        <v>3</v>
      </c>
      <c r="K24" s="25" t="s">
        <v>68</v>
      </c>
      <c r="L24" s="28"/>
      <c r="M24" s="28"/>
      <c r="N24" s="28" t="s">
        <v>108</v>
      </c>
      <c r="O24" s="27"/>
      <c r="P24" s="27"/>
      <c r="Q24" s="27"/>
    </row>
    <row r="25" spans="1:19" ht="23" x14ac:dyDescent="0.45">
      <c r="A25" s="25">
        <v>22</v>
      </c>
      <c r="B25" s="25"/>
      <c r="C25" s="25"/>
      <c r="D25" s="25" t="s">
        <v>57</v>
      </c>
      <c r="E25" s="25"/>
      <c r="F25" s="25"/>
      <c r="G25" s="25" t="s">
        <v>66</v>
      </c>
      <c r="H25" s="26" t="s">
        <v>70</v>
      </c>
      <c r="I25" s="27" t="s">
        <v>0</v>
      </c>
      <c r="J25" s="25">
        <v>7</v>
      </c>
      <c r="K25" s="25" t="s">
        <v>68</v>
      </c>
      <c r="L25" s="28"/>
      <c r="M25" s="28"/>
      <c r="N25" s="28" t="s">
        <v>108</v>
      </c>
      <c r="O25" s="27"/>
      <c r="P25" s="27"/>
      <c r="Q25" s="27"/>
    </row>
    <row r="26" spans="1:19" x14ac:dyDescent="0.45">
      <c r="A26" s="25">
        <v>23</v>
      </c>
      <c r="B26" s="25"/>
      <c r="C26" s="25"/>
      <c r="D26" s="25" t="s">
        <v>57</v>
      </c>
      <c r="E26" s="25"/>
      <c r="F26" s="25"/>
      <c r="G26" s="25" t="s">
        <v>66</v>
      </c>
      <c r="H26" s="29" t="s">
        <v>71</v>
      </c>
      <c r="I26" s="30" t="s">
        <v>93</v>
      </c>
      <c r="J26" s="25">
        <v>3</v>
      </c>
      <c r="K26" s="25" t="s">
        <v>68</v>
      </c>
      <c r="L26" s="28" t="s">
        <v>91</v>
      </c>
      <c r="M26" s="28"/>
      <c r="N26" s="28" t="s">
        <v>88</v>
      </c>
      <c r="O26" s="27"/>
      <c r="P26" s="27"/>
      <c r="Q26" s="27"/>
    </row>
    <row r="27" spans="1:19" x14ac:dyDescent="0.45">
      <c r="A27" s="25">
        <v>24</v>
      </c>
      <c r="B27" s="25"/>
      <c r="C27" s="25"/>
      <c r="D27" s="25" t="s">
        <v>57</v>
      </c>
      <c r="E27" s="25"/>
      <c r="F27" s="25"/>
      <c r="G27" s="25" t="s">
        <v>66</v>
      </c>
      <c r="H27" s="29" t="s">
        <v>72</v>
      </c>
      <c r="I27" s="30" t="s">
        <v>73</v>
      </c>
      <c r="J27" s="25">
        <v>3</v>
      </c>
      <c r="K27" s="25" t="s">
        <v>94</v>
      </c>
      <c r="L27" s="28" t="s">
        <v>87</v>
      </c>
      <c r="M27" s="28"/>
      <c r="N27" s="28" t="s">
        <v>89</v>
      </c>
      <c r="O27" s="27"/>
      <c r="P27" s="27"/>
      <c r="Q27" s="27"/>
    </row>
    <row r="28" spans="1:19" ht="23" x14ac:dyDescent="0.45">
      <c r="A28" s="31">
        <v>25</v>
      </c>
      <c r="B28" s="31"/>
      <c r="C28" s="31" t="s">
        <v>13</v>
      </c>
      <c r="D28" s="31"/>
      <c r="E28" s="31"/>
      <c r="F28" s="31"/>
      <c r="G28" s="31" t="s">
        <v>75</v>
      </c>
      <c r="H28" s="32" t="s">
        <v>114</v>
      </c>
      <c r="I28" s="33" t="s">
        <v>76</v>
      </c>
      <c r="J28" s="34">
        <v>1</v>
      </c>
      <c r="K28" s="34" t="s">
        <v>53</v>
      </c>
      <c r="L28" s="35" t="s">
        <v>98</v>
      </c>
      <c r="M28" s="35"/>
      <c r="N28" s="35" t="s">
        <v>90</v>
      </c>
      <c r="O28" s="36"/>
      <c r="P28" s="36"/>
      <c r="Q28" s="36" t="s">
        <v>104</v>
      </c>
    </row>
    <row r="29" spans="1:19" ht="23" x14ac:dyDescent="0.45">
      <c r="A29" s="31">
        <v>26</v>
      </c>
      <c r="B29" s="31"/>
      <c r="C29" s="31" t="s">
        <v>13</v>
      </c>
      <c r="D29" s="31"/>
      <c r="E29" s="31"/>
      <c r="F29" s="31"/>
      <c r="G29" s="31" t="s">
        <v>75</v>
      </c>
      <c r="H29" s="32" t="s">
        <v>113</v>
      </c>
      <c r="I29" s="33" t="s">
        <v>77</v>
      </c>
      <c r="J29" s="34">
        <v>1</v>
      </c>
      <c r="K29" s="34" t="s">
        <v>53</v>
      </c>
      <c r="L29" s="35" t="s">
        <v>98</v>
      </c>
      <c r="M29" s="35"/>
      <c r="N29" s="35" t="s">
        <v>90</v>
      </c>
      <c r="O29" s="36"/>
      <c r="P29" s="36"/>
      <c r="Q29" s="36" t="s">
        <v>104</v>
      </c>
    </row>
    <row r="30" spans="1:19" x14ac:dyDescent="0.45">
      <c r="A30" s="31">
        <v>27</v>
      </c>
      <c r="B30" s="31"/>
      <c r="C30" s="31" t="s">
        <v>57</v>
      </c>
      <c r="D30" s="31"/>
      <c r="E30" s="31"/>
      <c r="F30" s="31"/>
      <c r="G30" s="31" t="s">
        <v>75</v>
      </c>
      <c r="H30" s="32" t="s">
        <v>78</v>
      </c>
      <c r="I30" s="36" t="s">
        <v>79</v>
      </c>
      <c r="J30" s="31">
        <v>2</v>
      </c>
      <c r="K30" s="31" t="s">
        <v>23</v>
      </c>
      <c r="L30" s="35"/>
      <c r="M30" s="35"/>
      <c r="N30" s="35" t="s">
        <v>108</v>
      </c>
      <c r="O30" s="36"/>
      <c r="P30" s="36"/>
      <c r="Q30" s="36"/>
    </row>
    <row r="31" spans="1:19" x14ac:dyDescent="0.45">
      <c r="A31" s="31">
        <v>28</v>
      </c>
      <c r="B31" s="31"/>
      <c r="C31" s="31" t="s">
        <v>57</v>
      </c>
      <c r="D31" s="31"/>
      <c r="E31" s="31"/>
      <c r="F31" s="31"/>
      <c r="G31" s="31" t="s">
        <v>75</v>
      </c>
      <c r="H31" s="32" t="s">
        <v>80</v>
      </c>
      <c r="I31" s="36" t="s">
        <v>79</v>
      </c>
      <c r="J31" s="31">
        <v>1</v>
      </c>
      <c r="K31" s="31" t="s">
        <v>53</v>
      </c>
      <c r="L31" s="35"/>
      <c r="M31" s="35"/>
      <c r="N31" s="35" t="s">
        <v>108</v>
      </c>
      <c r="O31" s="36"/>
      <c r="P31" s="36"/>
      <c r="Q31" s="36"/>
    </row>
    <row r="34" spans="23:23" x14ac:dyDescent="0.45">
      <c r="W34" s="1">
        <v>337895</v>
      </c>
    </row>
    <row r="35" spans="23:23" x14ac:dyDescent="0.45">
      <c r="W35" s="1">
        <f>W34-111678</f>
        <v>226217</v>
      </c>
    </row>
  </sheetData>
  <mergeCells count="13">
    <mergeCell ref="Q2:Q3"/>
    <mergeCell ref="P2:P3"/>
    <mergeCell ref="A2:A3"/>
    <mergeCell ref="B2:F2"/>
    <mergeCell ref="G2:G3"/>
    <mergeCell ref="H2:H3"/>
    <mergeCell ref="I2:I3"/>
    <mergeCell ref="N2:N3"/>
    <mergeCell ref="O2:O3"/>
    <mergeCell ref="K2:K3"/>
    <mergeCell ref="L2:L3"/>
    <mergeCell ref="J2:J3"/>
    <mergeCell ref="M2:M3"/>
  </mergeCells>
  <phoneticPr fontId="4" type="noConversion"/>
  <pageMargins left="0.7" right="0.7" top="0.75" bottom="0.75" header="0.3" footer="0.3"/>
  <pageSetup paperSize="9" scale="36" orientation="portrait" r:id="rId1"/>
  <headerFooter>
    <oddFooter>&amp;L_x000D_&amp;1#&amp;"Aptos"&amp;9&amp;K000000 Confidential | AVIKUS – Unauthorized distribution is strictly prohibited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D90D0F94733F44B8E92DD98AE1F1581" ma:contentTypeVersion="24" ma:contentTypeDescription="새 문서를 만듭니다." ma:contentTypeScope="" ma:versionID="18a57ead5f081f6caef73fe7c8c90119">
  <xsd:schema xmlns:xsd="http://www.w3.org/2001/XMLSchema" xmlns:xs="http://www.w3.org/2001/XMLSchema" xmlns:p="http://schemas.microsoft.com/office/2006/metadata/properties" xmlns:ns2="24019410-d1d0-42fe-b6da-bfb21a3ee566" xmlns:ns3="f1fa6c51-b02d-4139-aafb-3ade645604da" targetNamespace="http://schemas.microsoft.com/office/2006/metadata/properties" ma:root="true" ma:fieldsID="0da3ca81ab5836fd408cda0bb74f2f46" ns2:_="" ns3:_="">
    <xsd:import namespace="24019410-d1d0-42fe-b6da-bfb21a3ee566"/>
    <xsd:import namespace="f1fa6c51-b02d-4139-aafb-3ade645604da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Thumbnail" minOccurs="0"/>
                <xsd:element ref="ns2:MediaServiceBillingMetadata" minOccurs="0"/>
                <xsd:element ref="ns2:AS_xc5c5__xccb4__xbe0c__xb85c__xc15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019410-d1d0-42fe-b6da-bfb21a3ee566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8" nillable="true" ma:displayName="사인 오프 상태" ma:internalName="_xc0ac__xc778__x0020__xc624__xd504__x0020__xc0c1__xd0dc_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이미지 태그" ma:readOnly="false" ma:fieldId="{5cf76f15-5ced-4ddc-b409-7134ff3c332f}" ma:taxonomyMulti="true" ma:sspId="f920a6b6-d301-4231-ae99-8c04d2adc0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humbnail" ma:index="27" nillable="true" ma:displayName="Thumbnail" ma:format="Thumbnail" ma:internalName="Thumbnail">
      <xsd:simpleType>
        <xsd:restriction base="dms:Unknown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AS_xc5c5__xccb4__xbe0c__xb85c__xc154_" ma:index="29" nillable="true" ma:displayName="AS 업체 브로셔 " ma:format="Dropdown" ma:internalName="AS_xc5c5__xccb4__xbe0c__xb85c__xc15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a6c51-b02d-4139-aafb-3ade645604d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1d8a1fc-1978-48f3-8f74-297a766dc28d}" ma:internalName="TaxCatchAll" ma:showField="CatchAllData" ma:web="f1fa6c51-b02d-4139-aafb-3ade6456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019410-d1d0-42fe-b6da-bfb21a3ee566">
      <Terms xmlns="http://schemas.microsoft.com/office/infopath/2007/PartnerControls"/>
    </lcf76f155ced4ddcb4097134ff3c332f>
    <Thumbnail xmlns="24019410-d1d0-42fe-b6da-bfb21a3ee566" xsi:nil="true"/>
    <AS_xc5c5__xccb4__xbe0c__xb85c__xc154_ xmlns="24019410-d1d0-42fe-b6da-bfb21a3ee566" xsi:nil="true"/>
    <_Flow_SignoffStatus xmlns="24019410-d1d0-42fe-b6da-bfb21a3ee566" xsi:nil="true"/>
    <TaxCatchAll xmlns="f1fa6c51-b02d-4139-aafb-3ade645604da" xsi:nil="true"/>
  </documentManagement>
</p:properties>
</file>

<file path=customXml/itemProps1.xml><?xml version="1.0" encoding="utf-8"?>
<ds:datastoreItem xmlns:ds="http://schemas.openxmlformats.org/officeDocument/2006/customXml" ds:itemID="{85230E33-2CDF-447E-85FC-3CFCE05224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97BA2F-C3B3-4DC6-806F-CD048684E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019410-d1d0-42fe-b6da-bfb21a3ee566"/>
    <ds:schemaRef ds:uri="f1fa6c51-b02d-4139-aafb-3ade645604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B3DC75-759C-4C54-BF61-0BAE63FB2FAD}">
  <ds:schemaRefs>
    <ds:schemaRef ds:uri="http://schemas.microsoft.com/office/2006/metadata/properties"/>
    <ds:schemaRef ds:uri="http://schemas.microsoft.com/office/infopath/2007/PartnerControls"/>
    <ds:schemaRef ds:uri="24019410-d1d0-42fe-b6da-bfb21a3ee566"/>
    <ds:schemaRef ds:uri="f1fa6c51-b02d-4139-aafb-3ade645604da"/>
  </ds:schemaRefs>
</ds:datastoreItem>
</file>

<file path=docMetadata/LabelInfo.xml><?xml version="1.0" encoding="utf-8"?>
<clbl:labelList xmlns:clbl="http://schemas.microsoft.com/office/2020/mipLabelMetadata">
  <clbl:label id="{bad320f5-2bb6-4079-b184-1296498dd694}" enabled="1" method="Privileged" siteId="{48c3cf2c-29be-407f-80f9-b5dc00c35cd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HiNAS-Control 2.0</vt:lpstr>
      <vt:lpstr>'HiNAS-Control 2.0'!Print_Area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Seunghyun Woo(우승현)</cp:lastModifiedBy>
  <dcterms:created xsi:type="dcterms:W3CDTF">2014-12-18T08:19:14Z</dcterms:created>
  <dcterms:modified xsi:type="dcterms:W3CDTF">2026-04-23T05:49:47Z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0x010100FD90D0F94733F44B8E92DD98AE1F1581</vt:lpwstr>
  </property>
</Properties>
</file>